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ylzhou/Downloads/"/>
    </mc:Choice>
  </mc:AlternateContent>
  <xr:revisionPtr revIDLastSave="0" documentId="8_{E461E46D-640B-1E44-933F-13608E66953F}" xr6:coauthVersionLast="47" xr6:coauthVersionMax="47" xr10:uidLastSave="{00000000-0000-0000-0000-000000000000}"/>
  <bookViews>
    <workbookView xWindow="15500" yWindow="600" windowWidth="13300" windowHeight="17400" xr2:uid="{8D6ADBF5-96F6-B143-86A8-5692DBE5BF1C}"/>
  </bookViews>
  <sheets>
    <sheet name="single stage" sheetId="1" r:id="rId1"/>
    <sheet name="two-st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F34" i="2"/>
  <c r="F33" i="2"/>
  <c r="F32" i="2"/>
  <c r="F31" i="2"/>
  <c r="E27" i="1"/>
  <c r="E26" i="1"/>
  <c r="E25" i="1"/>
  <c r="E24" i="1"/>
  <c r="E23" i="1"/>
  <c r="E22" i="1"/>
  <c r="E21" i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E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F3" i="2"/>
  <c r="F12" i="2"/>
  <c r="F11" i="2"/>
  <c r="F10" i="2"/>
  <c r="F9" i="2"/>
  <c r="F8" i="2"/>
  <c r="F7" i="2"/>
  <c r="F4" i="2"/>
  <c r="F5" i="2"/>
  <c r="F6" i="2"/>
</calcChain>
</file>

<file path=xl/sharedStrings.xml><?xml version="1.0" encoding="utf-8"?>
<sst xmlns="http://schemas.openxmlformats.org/spreadsheetml/2006/main" count="1583" uniqueCount="577">
  <si>
    <t>dob</t>
  </si>
  <si>
    <t>raceethnic</t>
  </si>
  <si>
    <t>datedx</t>
  </si>
  <si>
    <t>primary_site</t>
  </si>
  <si>
    <t>grade1</t>
  </si>
  <si>
    <t>tumor_size</t>
  </si>
  <si>
    <t>tobacco_history</t>
  </si>
  <si>
    <t>alcohol_history</t>
  </si>
  <si>
    <t>dead</t>
  </si>
  <si>
    <t>TE capacity</t>
  </si>
  <si>
    <t>TE initial fill</t>
  </si>
  <si>
    <t>ADM/dermal sling</t>
  </si>
  <si>
    <t>complications_2</t>
  </si>
  <si>
    <t>complications_3</t>
  </si>
  <si>
    <t>reoperation reason</t>
  </si>
  <si>
    <t>complication (Y/N)</t>
  </si>
  <si>
    <t>implant size</t>
  </si>
  <si>
    <t>implant material</t>
  </si>
  <si>
    <t>date_implant</t>
  </si>
  <si>
    <t>date_TE</t>
  </si>
  <si>
    <t>notes</t>
  </si>
  <si>
    <t>4/24/20 (R) 9/30/20 (L)</t>
  </si>
  <si>
    <t xml:space="preserve">10/15/21 (L) </t>
  </si>
  <si>
    <t>replacement of implant on 4/27/22</t>
  </si>
  <si>
    <t>7/7/2021 (R )</t>
  </si>
  <si>
    <t>replaced TE 2/4/22</t>
  </si>
  <si>
    <t>TE removal and mastectomy flaps 1/10/25</t>
  </si>
  <si>
    <t>had prior implants 17 years ago</t>
  </si>
  <si>
    <t>TE exchange 2/2/22</t>
  </si>
  <si>
    <t>TE replacement on 2/4/22</t>
  </si>
  <si>
    <t>8/1/2022 (R ) 9/22/23 (L)</t>
  </si>
  <si>
    <t>autologous fat graft</t>
  </si>
  <si>
    <t>delayed recon after mastectomy</t>
  </si>
  <si>
    <t>different times for each breast</t>
  </si>
  <si>
    <t>5/14/24 (R ) 2/23/2024 (L)</t>
  </si>
  <si>
    <t>prior augmentation implant 2004</t>
  </si>
  <si>
    <t>prior augmentation 2007</t>
  </si>
  <si>
    <t>pre-pec</t>
  </si>
  <si>
    <t>adjuvant chemotherapy (yes=1)</t>
  </si>
  <si>
    <t xml:space="preserve">neoadjuvant chemotherapy (yes=1) </t>
  </si>
  <si>
    <t xml:space="preserve">ALND (yes=1) </t>
  </si>
  <si>
    <t>sub-pec</t>
  </si>
  <si>
    <t>breast</t>
  </si>
  <si>
    <t>mastectomy laterality</t>
  </si>
  <si>
    <t>ER +</t>
  </si>
  <si>
    <t>PR+</t>
  </si>
  <si>
    <t>HER2+</t>
  </si>
  <si>
    <t>last date_FU with PRS or breast</t>
  </si>
  <si>
    <t>age</t>
  </si>
  <si>
    <t>BMI</t>
  </si>
  <si>
    <t>gender</t>
  </si>
  <si>
    <t>cormobidities (yes/no)</t>
  </si>
  <si>
    <t>diabetes</t>
  </si>
  <si>
    <t>A1c</t>
  </si>
  <si>
    <t>HTN</t>
  </si>
  <si>
    <t>removal of implant/TE</t>
  </si>
  <si>
    <t>replacement of implant/TE at same time</t>
  </si>
  <si>
    <t xml:space="preserve">NSM </t>
  </si>
  <si>
    <t>SSM</t>
  </si>
  <si>
    <t>SSM-wise/skin-reducing</t>
  </si>
  <si>
    <t>RT (yes=1)</t>
  </si>
  <si>
    <t>medical complications</t>
  </si>
  <si>
    <t>hematoma, infection, capsular contraction, skin necrosis, wound healing complication, seroma</t>
  </si>
  <si>
    <t>F</t>
  </si>
  <si>
    <t>white</t>
  </si>
  <si>
    <t>II</t>
  </si>
  <si>
    <t>1.5 cm</t>
  </si>
  <si>
    <t>cancer laterality R(0), L (1), both (2)</t>
  </si>
  <si>
    <t>Y</t>
  </si>
  <si>
    <t>fat grafting</t>
  </si>
  <si>
    <t>reoperation (no=0, yes=1)</t>
  </si>
  <si>
    <t>memorygel silicone</t>
  </si>
  <si>
    <t>N</t>
  </si>
  <si>
    <t>clinical stage</t>
  </si>
  <si>
    <t>path stage</t>
  </si>
  <si>
    <t>T1N0M0</t>
  </si>
  <si>
    <t>pT1c</t>
  </si>
  <si>
    <t>SSM-ellipse/standard</t>
  </si>
  <si>
    <t>SLNB (yes=1)</t>
  </si>
  <si>
    <t>DCIS</t>
  </si>
  <si>
    <r>
      <t>pTisN0</t>
    </r>
    <r>
      <rPr>
        <sz val="11"/>
        <color theme="1"/>
        <rFont val="Arial"/>
        <family val="2"/>
      </rPr>
      <t> </t>
    </r>
  </si>
  <si>
    <t>cellulitis</t>
  </si>
  <si>
    <t>capsulotomy</t>
  </si>
  <si>
    <t>liposuction and capsulotomy</t>
  </si>
  <si>
    <t>5 cm</t>
  </si>
  <si>
    <t>seroma</t>
  </si>
  <si>
    <r>
      <t>T1cN0Mo</t>
    </r>
    <r>
      <rPr>
        <sz val="11"/>
        <color theme="1"/>
        <rFont val="Arial"/>
        <family val="2"/>
      </rPr>
      <t> </t>
    </r>
  </si>
  <si>
    <r>
      <t>pT1cN0</t>
    </r>
    <r>
      <rPr>
        <sz val="11"/>
        <color theme="1"/>
        <rFont val="Arial"/>
        <family val="2"/>
      </rPr>
      <t> </t>
    </r>
  </si>
  <si>
    <t>1.6 cm</t>
  </si>
  <si>
    <t>IDC</t>
  </si>
  <si>
    <t>black</t>
  </si>
  <si>
    <r>
      <t>pT1c(m)N1a(sn)</t>
    </r>
    <r>
      <rPr>
        <sz val="11"/>
        <color theme="1"/>
        <rFont val="Arial"/>
        <family val="2"/>
      </rPr>
      <t> </t>
    </r>
  </si>
  <si>
    <t>IDC/DCIS</t>
  </si>
  <si>
    <t>complications_4</t>
  </si>
  <si>
    <t>IV capsular contraction</t>
  </si>
  <si>
    <t>bacteremia</t>
  </si>
  <si>
    <t xml:space="preserve">capsulotomy and asymmetry </t>
  </si>
  <si>
    <t>silicone</t>
  </si>
  <si>
    <t>CVD</t>
  </si>
  <si>
    <t xml:space="preserve">2.5 (L) </t>
  </si>
  <si>
    <t>ypT1bNX</t>
  </si>
  <si>
    <t>L IDC, R breast had prior DCIS</t>
  </si>
  <si>
    <t>?</t>
  </si>
  <si>
    <t>asian indian</t>
  </si>
  <si>
    <t xml:space="preserve">silicone </t>
  </si>
  <si>
    <t>300 (R), 400 (L)</t>
  </si>
  <si>
    <t>III</t>
  </si>
  <si>
    <t>2.5 cm</t>
  </si>
  <si>
    <t>T2N0M0</t>
  </si>
  <si>
    <r>
      <t>ypT0N0</t>
    </r>
    <r>
      <rPr>
        <sz val="11"/>
        <color theme="1"/>
        <rFont val="Arial"/>
        <family val="2"/>
      </rPr>
      <t> </t>
    </r>
  </si>
  <si>
    <t xml:space="preserve">immunotherapy (keytruda?) </t>
  </si>
  <si>
    <t>removal of implant 9/20/21</t>
  </si>
  <si>
    <t>R IDC , L prophylactic; underwent bilateral completion mastectomy 7/26/23</t>
  </si>
  <si>
    <t>cT1bN0M0</t>
  </si>
  <si>
    <r>
      <t>pT1b, N0(sn)</t>
    </r>
    <r>
      <rPr>
        <sz val="11"/>
        <color theme="1"/>
        <rFont val="Arial"/>
        <family val="2"/>
      </rPr>
      <t> </t>
    </r>
  </si>
  <si>
    <t>9 mm</t>
  </si>
  <si>
    <t>small amount of seroma</t>
  </si>
  <si>
    <t>L IDC, R prophylactic</t>
  </si>
  <si>
    <t>former</t>
  </si>
  <si>
    <t>300 (R), 350 (L)</t>
  </si>
  <si>
    <t>I</t>
  </si>
  <si>
    <t>2 mm</t>
  </si>
  <si>
    <t xml:space="preserve"> pT1aN0(sn)</t>
  </si>
  <si>
    <t>L ILC, R DCIS; factor V leiden</t>
  </si>
  <si>
    <t>IA</t>
  </si>
  <si>
    <t>implants too wide</t>
  </si>
  <si>
    <t>replacement in 2/25/20</t>
  </si>
  <si>
    <t xml:space="preserve">IB </t>
  </si>
  <si>
    <t>pT2N0sn</t>
  </si>
  <si>
    <t xml:space="preserve">R IDC  </t>
  </si>
  <si>
    <t>2.8 cm</t>
  </si>
  <si>
    <t>mastectomy flap skin necrosis</t>
  </si>
  <si>
    <t xml:space="preserve">seroma </t>
  </si>
  <si>
    <t>IIB</t>
  </si>
  <si>
    <t xml:space="preserve">R IDC </t>
  </si>
  <si>
    <r>
      <t>T2N0M0</t>
    </r>
    <r>
      <rPr>
        <sz val="11"/>
        <color theme="1"/>
        <rFont val="Arial"/>
        <family val="2"/>
      </rPr>
      <t> </t>
    </r>
  </si>
  <si>
    <t>2.8 or 6.3 cm</t>
  </si>
  <si>
    <t>cT2N0M0</t>
  </si>
  <si>
    <t>R IDC</t>
  </si>
  <si>
    <t>adjuvant endocrine</t>
  </si>
  <si>
    <t>2.5cm x 1.0cm</t>
  </si>
  <si>
    <t>increased pain and sensitivity s/p 5 years</t>
  </si>
  <si>
    <r>
      <t xml:space="preserve">prophylactic bilateral mastectomy, </t>
    </r>
    <r>
      <rPr>
        <sz val="12"/>
        <color rgb="FFFF0000"/>
        <rFont val="Aptos Narrow (Body)"/>
      </rPr>
      <t>PALB2 positive? Fam history?</t>
    </r>
  </si>
  <si>
    <t>cough</t>
  </si>
  <si>
    <t>N/A</t>
  </si>
  <si>
    <t>R ADH, prior bilateral augmentation</t>
  </si>
  <si>
    <t>7 cm</t>
  </si>
  <si>
    <t>desires aesthetic symmetry</t>
  </si>
  <si>
    <t>asymmetry- periprosthetic capsulotomy and fat grafting</t>
  </si>
  <si>
    <t>mastectomy 19 years ago</t>
  </si>
  <si>
    <t>capsular contracture of L breast</t>
  </si>
  <si>
    <t xml:space="preserve"> p T2(m)N0(sn)</t>
  </si>
  <si>
    <t>R IDC, L prophylactic</t>
  </si>
  <si>
    <r>
      <t>2.5cm and 6mm</t>
    </r>
    <r>
      <rPr>
        <sz val="11"/>
        <color theme="1"/>
        <rFont val="Arial"/>
        <family val="2"/>
      </rPr>
      <t> </t>
    </r>
  </si>
  <si>
    <t>rupture of breast</t>
  </si>
  <si>
    <t>exchange to saline, then removal</t>
  </si>
  <si>
    <t>ADM/dermal sling (type?)</t>
  </si>
  <si>
    <t>pT3N1(mi)</t>
  </si>
  <si>
    <t>fever to 102</t>
  </si>
  <si>
    <t>6x4x2cm</t>
  </si>
  <si>
    <t>capsular contracture</t>
  </si>
  <si>
    <t>periprosthetic capsulotomy and fat grafting</t>
  </si>
  <si>
    <t xml:space="preserve">initial recon 10/15/19 at OSH, underwent completion mastectomy with implant replacement, L ILC </t>
  </si>
  <si>
    <t>R LCIS prophylactic, L prophylactic factor IX deficiency</t>
  </si>
  <si>
    <t>smaller implants</t>
  </si>
  <si>
    <t>exchanged for smaller implants and again for capsular contraction</t>
  </si>
  <si>
    <t>L IDC, BRCA1 gene positive</t>
  </si>
  <si>
    <t>cT2N0 M0</t>
  </si>
  <si>
    <t>IIA/IIB</t>
  </si>
  <si>
    <t>2.4 cm</t>
  </si>
  <si>
    <t>shooting pains in bilateral breasts, neck tenderness</t>
  </si>
  <si>
    <t>prophylactic BRCA1+</t>
  </si>
  <si>
    <t>fevers, chills</t>
  </si>
  <si>
    <t>L breast cellulitis</t>
  </si>
  <si>
    <t>washout</t>
  </si>
  <si>
    <r>
      <t>cT2N1M0</t>
    </r>
    <r>
      <rPr>
        <sz val="11"/>
        <color theme="1"/>
        <rFont val="Arial"/>
        <family val="2"/>
      </rPr>
      <t> </t>
    </r>
  </si>
  <si>
    <t>IB</t>
  </si>
  <si>
    <t>7 mm</t>
  </si>
  <si>
    <t>1.2 cm</t>
  </si>
  <si>
    <t>R DCIS, L ADH prophylactic</t>
  </si>
  <si>
    <t>breast itching and air bubbles</t>
  </si>
  <si>
    <t>low back pain and renal scarring?</t>
  </si>
  <si>
    <t>multiple foci, largest span 2.4 cm</t>
  </si>
  <si>
    <t xml:space="preserve"> pTis(DCIS), N0(sn) </t>
  </si>
  <si>
    <t>L capsular contraction</t>
  </si>
  <si>
    <t>phantom breast pain</t>
  </si>
  <si>
    <t>silicone, then saline</t>
  </si>
  <si>
    <r>
      <t>p T2(m)N0(sn)</t>
    </r>
    <r>
      <rPr>
        <sz val="11"/>
        <color theme="1"/>
        <rFont val="Arial"/>
        <family val="2"/>
      </rPr>
      <t> </t>
    </r>
  </si>
  <si>
    <r>
      <t>two foci (2.5cm and 6mm)</t>
    </r>
    <r>
      <rPr>
        <sz val="11"/>
        <color theme="1"/>
        <rFont val="Arial"/>
        <family val="2"/>
      </rPr>
      <t> </t>
    </r>
  </si>
  <si>
    <t>capsular contraction, exchange for saline implants, then complete removal</t>
  </si>
  <si>
    <t>L IDC</t>
  </si>
  <si>
    <r>
      <t>PT1bN0</t>
    </r>
    <r>
      <rPr>
        <sz val="11"/>
        <color theme="1"/>
        <rFont val="Arial"/>
        <family val="2"/>
      </rPr>
      <t> </t>
    </r>
  </si>
  <si>
    <t>R ILC, L implant replacement and mastopexy</t>
  </si>
  <si>
    <t>1.8 cm</t>
  </si>
  <si>
    <t>pT1cN0(sn)</t>
  </si>
  <si>
    <t>R breast larger, asymmetry</t>
  </si>
  <si>
    <t>asymmetry</t>
  </si>
  <si>
    <t>R ILC ms TRAM flap, L prophylactic DTI, BCRA2+</t>
  </si>
  <si>
    <t>planned fat grafting to L breast</t>
  </si>
  <si>
    <t>L IDC and DCIS, R prophylactic</t>
  </si>
  <si>
    <t>R breast hematoma</t>
  </si>
  <si>
    <r>
      <t>2mm</t>
    </r>
    <r>
      <rPr>
        <sz val="11"/>
        <color theme="1"/>
        <rFont val="Arial"/>
        <family val="2"/>
      </rPr>
      <t> </t>
    </r>
    <r>
      <rPr>
        <sz val="10"/>
        <color theme="1"/>
        <rFont val="Arial"/>
        <family val="2"/>
      </rPr>
      <t>(IDC) and 7 cm (DCIS)</t>
    </r>
  </si>
  <si>
    <r>
      <t>cT1aN0M0</t>
    </r>
    <r>
      <rPr>
        <sz val="11"/>
        <color theme="1"/>
        <rFont val="Arial"/>
        <family val="2"/>
      </rPr>
      <t> </t>
    </r>
  </si>
  <si>
    <r>
      <t>IA</t>
    </r>
    <r>
      <rPr>
        <sz val="11"/>
        <color theme="1"/>
        <rFont val="Arial"/>
        <family val="2"/>
      </rPr>
      <t> </t>
    </r>
  </si>
  <si>
    <t>hematoma</t>
  </si>
  <si>
    <t>revision due to asymmetry and capsulectomy</t>
  </si>
  <si>
    <t>for prophylactic, should I include stage of the cancer?</t>
  </si>
  <si>
    <t>R hematoma</t>
  </si>
  <si>
    <t>L breast had TE in 2018, bilateral recon 2021, BCRA2+</t>
  </si>
  <si>
    <t>1- herceptin</t>
  </si>
  <si>
    <r>
      <t>ypT1b(m)N1(sn)</t>
    </r>
    <r>
      <rPr>
        <sz val="11"/>
        <color theme="1"/>
        <rFont val="Arial"/>
        <family val="2"/>
      </rPr>
      <t> </t>
    </r>
  </si>
  <si>
    <t>hematoma washout</t>
  </si>
  <si>
    <t>ICG angiography</t>
  </si>
  <si>
    <t xml:space="preserve">implant removal later and TE placement, L DCIS with Paget's </t>
  </si>
  <si>
    <t>Paget's disease, TE placement</t>
  </si>
  <si>
    <r>
      <t>TisN0M0</t>
    </r>
    <r>
      <rPr>
        <sz val="11"/>
        <color theme="1"/>
        <rFont val="Arial"/>
        <family val="2"/>
      </rPr>
      <t> </t>
    </r>
  </si>
  <si>
    <t>6.3 cm</t>
  </si>
  <si>
    <t>131/72 ?</t>
  </si>
  <si>
    <t>PT1c,N0</t>
  </si>
  <si>
    <t>R DCIS</t>
  </si>
  <si>
    <t>lymphedema and myalgias</t>
  </si>
  <si>
    <t>5 mm &amp; 1.5 mm IDC</t>
  </si>
  <si>
    <t>incisional wound necrosis</t>
  </si>
  <si>
    <t>debridement</t>
  </si>
  <si>
    <r>
      <t>pT1a(m)N0</t>
    </r>
    <r>
      <rPr>
        <sz val="11"/>
        <color theme="1"/>
        <rFont val="Arial"/>
        <family val="2"/>
      </rPr>
      <t> </t>
    </r>
  </si>
  <si>
    <t>SPY vs ICG lymphography</t>
  </si>
  <si>
    <t>socially</t>
  </si>
  <si>
    <t>L IDC, R prophylactic, BCRA2+</t>
  </si>
  <si>
    <r>
      <t>cT2mcN0</t>
    </r>
    <r>
      <rPr>
        <sz val="11"/>
        <color theme="1"/>
        <rFont val="Arial"/>
        <family val="2"/>
      </rPr>
      <t> </t>
    </r>
  </si>
  <si>
    <t>IIA</t>
  </si>
  <si>
    <t>endocrine therapy</t>
  </si>
  <si>
    <t xml:space="preserve">1.0 cm </t>
  </si>
  <si>
    <t>expander removal and debridement</t>
  </si>
  <si>
    <t>radiation induced skin necrosis</t>
  </si>
  <si>
    <t>275 (R) 295 (L)</t>
  </si>
  <si>
    <t>lymphedema</t>
  </si>
  <si>
    <t>capsulotomy and fat grafting</t>
  </si>
  <si>
    <t>465 (R) 235 (L)</t>
  </si>
  <si>
    <r>
      <t>pT2N0(sn)</t>
    </r>
    <r>
      <rPr>
        <sz val="11"/>
        <color theme="1"/>
        <rFont val="Arial"/>
        <family val="2"/>
      </rPr>
      <t> </t>
    </r>
  </si>
  <si>
    <t>2.1 cm</t>
  </si>
  <si>
    <t>hispanic</t>
  </si>
  <si>
    <r>
      <t>cT2N1</t>
    </r>
    <r>
      <rPr>
        <sz val="11"/>
        <color theme="1"/>
        <rFont val="Arial"/>
        <family val="2"/>
      </rPr>
      <t> </t>
    </r>
  </si>
  <si>
    <t>2.3 cm</t>
  </si>
  <si>
    <t>L TE removal, washout, replacement</t>
  </si>
  <si>
    <t>fevers, nausea, infection</t>
  </si>
  <si>
    <r>
      <t>cT1aN0</t>
    </r>
    <r>
      <rPr>
        <sz val="11"/>
        <color theme="1"/>
        <rFont val="Arial"/>
        <family val="2"/>
      </rPr>
      <t> </t>
    </r>
  </si>
  <si>
    <t xml:space="preserve">I </t>
  </si>
  <si>
    <t>bilateral breast pain and R breast vein prominence</t>
  </si>
  <si>
    <t>ypTisN0</t>
  </si>
  <si>
    <t>removal of implants, potentially future saline</t>
  </si>
  <si>
    <t>0.1 mm</t>
  </si>
  <si>
    <t>300 (R) 400 (L)</t>
  </si>
  <si>
    <t>plan to swap for saline</t>
  </si>
  <si>
    <t>L DCIS</t>
  </si>
  <si>
    <t>8.2 cm</t>
  </si>
  <si>
    <t>intermediate</t>
  </si>
  <si>
    <t>rare</t>
  </si>
  <si>
    <t>6 cm</t>
  </si>
  <si>
    <r>
      <t>pT1bN0(sn)</t>
    </r>
    <r>
      <rPr>
        <sz val="11"/>
        <color theme="1"/>
        <rFont val="Arial"/>
        <family val="2"/>
      </rPr>
      <t> </t>
    </r>
  </si>
  <si>
    <t>8mm (IDC) 3.9 cm (DCIS)</t>
  </si>
  <si>
    <t>wound at t-point</t>
  </si>
  <si>
    <t>decreased ROM, asymmetry</t>
  </si>
  <si>
    <t>superficial vertical incision &amp; reclosure</t>
  </si>
  <si>
    <t>discont.</t>
  </si>
  <si>
    <t>10 cm</t>
  </si>
  <si>
    <r>
      <t>cT2(m)N0M0)</t>
    </r>
    <r>
      <rPr>
        <sz val="11"/>
        <color theme="1"/>
        <rFont val="Arial"/>
        <family val="2"/>
      </rPr>
      <t> </t>
    </r>
  </si>
  <si>
    <t>6/14/2022 (silvercross)</t>
  </si>
  <si>
    <t>L ILC, R prophylactic, PMS2 VUS</t>
  </si>
  <si>
    <t>pre</t>
  </si>
  <si>
    <t>low</t>
  </si>
  <si>
    <t>L DCIS/ADH, R mastopexy</t>
  </si>
  <si>
    <t>rash on L breast with edema</t>
  </si>
  <si>
    <t>ecchymosis, small dehiscence, asymmetry- wants revision</t>
  </si>
  <si>
    <t>R ADH, BL risk reducing, BCRA2+</t>
  </si>
  <si>
    <t>seroma draining (is this op?)</t>
  </si>
  <si>
    <t>BL prophylactic, BCRA1+</t>
  </si>
  <si>
    <t>1.2 &amp; 1.1 cm</t>
  </si>
  <si>
    <r>
      <t>T1aN0M0</t>
    </r>
    <r>
      <rPr>
        <sz val="11"/>
        <color theme="1"/>
        <rFont val="Arial"/>
        <family val="2"/>
      </rPr>
      <t> </t>
    </r>
  </si>
  <si>
    <t>pT1c(m)N0(sn)</t>
  </si>
  <si>
    <t>intermittant pain at edges of implant</t>
  </si>
  <si>
    <t>0-flap</t>
  </si>
  <si>
    <t>capsular contraction, periprosthetic capsulotomies, fat grafting</t>
  </si>
  <si>
    <t>capsular contraction</t>
  </si>
  <si>
    <t>R ILC, L mastopexy</t>
  </si>
  <si>
    <t>5.5 cm</t>
  </si>
  <si>
    <r>
      <t>T3N1(mi)M0</t>
    </r>
    <r>
      <rPr>
        <sz val="11"/>
        <color theme="1"/>
        <rFont val="Arial"/>
        <family val="2"/>
      </rPr>
      <t> </t>
    </r>
  </si>
  <si>
    <t>pT3N1mi(sn)</t>
  </si>
  <si>
    <t>low grade fever</t>
  </si>
  <si>
    <t>? Neoadjuvant herceptin</t>
  </si>
  <si>
    <r>
      <t>cT1bN0M0</t>
    </r>
    <r>
      <rPr>
        <sz val="11"/>
        <color theme="1"/>
        <rFont val="Arial"/>
        <family val="2"/>
      </rPr>
      <t> </t>
    </r>
  </si>
  <si>
    <t>6mm x 2mm )(IDC), 9 cm DCIS</t>
  </si>
  <si>
    <t xml:space="preserve"> 300 (R) 200 (L)</t>
  </si>
  <si>
    <r>
      <t>ypTis, N0(sn)</t>
    </r>
    <r>
      <rPr>
        <sz val="11"/>
        <color theme="1"/>
        <rFont val="Arial"/>
        <family val="2"/>
      </rPr>
      <t> </t>
    </r>
  </si>
  <si>
    <r>
      <t>4.7 x 3.5 cm</t>
    </r>
    <r>
      <rPr>
        <sz val="11"/>
        <color theme="1"/>
        <rFont val="Arial"/>
        <family val="2"/>
      </rPr>
      <t> </t>
    </r>
  </si>
  <si>
    <t>some fluid not draining, 150cc serous fluid out 5/4/2020</t>
  </si>
  <si>
    <t xml:space="preserve"> 20cm x 15cm</t>
  </si>
  <si>
    <r>
      <t>LEFT axillary seed-localized excision</t>
    </r>
    <r>
      <rPr>
        <sz val="11"/>
        <color rgb="FFFF0000"/>
        <rFont val="Arial"/>
        <family val="2"/>
      </rPr>
      <t> </t>
    </r>
  </si>
  <si>
    <t>IIIA</t>
  </si>
  <si>
    <t>low fever, small seroma, not infected</t>
  </si>
  <si>
    <r>
      <t>ypT3N1(sn)</t>
    </r>
    <r>
      <rPr>
        <sz val="11"/>
        <color theme="1"/>
        <rFont val="Arial"/>
        <family val="2"/>
      </rPr>
      <t> </t>
    </r>
  </si>
  <si>
    <r>
      <t>ypT2(m)N2a</t>
    </r>
    <r>
      <rPr>
        <sz val="11"/>
        <color theme="1"/>
        <rFont val="Arial"/>
        <family val="2"/>
      </rPr>
      <t> </t>
    </r>
  </si>
  <si>
    <t>R arm lymphedema</t>
  </si>
  <si>
    <t>cT2 (m)N1M0</t>
  </si>
  <si>
    <t>28mm x 17mm</t>
  </si>
  <si>
    <t>R IDC, L prophylactic, CHEK2+</t>
  </si>
  <si>
    <t>breast/axilla</t>
  </si>
  <si>
    <t>asymmetry: L skin excision and capsulorrhaphy</t>
  </si>
  <si>
    <t>4 mm</t>
  </si>
  <si>
    <t>L DCIS, R IDC cancer 2013</t>
  </si>
  <si>
    <t>L breast revision, flipped implant</t>
  </si>
  <si>
    <t>prior for R cancer</t>
  </si>
  <si>
    <t>2013 (R) 2021 (L)</t>
  </si>
  <si>
    <r>
      <t>pT1miN0</t>
    </r>
    <r>
      <rPr>
        <sz val="11"/>
        <color theme="1"/>
        <rFont val="Arial"/>
        <family val="2"/>
      </rPr>
      <t> </t>
    </r>
  </si>
  <si>
    <t>high</t>
  </si>
  <si>
    <t>raloxifene- discont</t>
  </si>
  <si>
    <t xml:space="preserve">R DCIS  </t>
  </si>
  <si>
    <t>grade III capsular contracture</t>
  </si>
  <si>
    <t>low grade fever, rash, pain with movement</t>
  </si>
  <si>
    <t>int</t>
  </si>
  <si>
    <t>L drain site infx</t>
  </si>
  <si>
    <t>1.2mm and 0.5 mm</t>
  </si>
  <si>
    <t>keytruda</t>
  </si>
  <si>
    <t>1- for endometrial cancer later</t>
  </si>
  <si>
    <t>high fever</t>
  </si>
  <si>
    <t xml:space="preserve"> pT1a, N0(sn) M0</t>
  </si>
  <si>
    <t>T1aN0M0</t>
  </si>
  <si>
    <t>R IDC &amp; DCIS, L prophylactic, BCRA2+</t>
  </si>
  <si>
    <t>L ILC, R prophylactic, BRCA2+</t>
  </si>
  <si>
    <t>lateralization of L implant and upper pole hollowing</t>
  </si>
  <si>
    <r>
      <t>pT1cN0(sn)</t>
    </r>
    <r>
      <rPr>
        <sz val="11"/>
        <color theme="1"/>
        <rFont val="Arial"/>
        <family val="2"/>
      </rPr>
      <t> </t>
    </r>
  </si>
  <si>
    <t>2.0 cm</t>
  </si>
  <si>
    <t>1- for prior hodgkin's</t>
  </si>
  <si>
    <t xml:space="preserve">L IDC </t>
  </si>
  <si>
    <t>revision of breast for symmetry</t>
  </si>
  <si>
    <r>
      <t>YPT1CN0</t>
    </r>
    <r>
      <rPr>
        <sz val="11"/>
        <color theme="1"/>
        <rFont val="Arial"/>
        <family val="2"/>
      </rPr>
      <t> </t>
    </r>
  </si>
  <si>
    <t>tamoxifen</t>
  </si>
  <si>
    <r>
      <t>1.2 x 0.7 x 0.7 cm</t>
    </r>
    <r>
      <rPr>
        <sz val="11"/>
        <color theme="1"/>
        <rFont val="Arial"/>
        <family val="2"/>
      </rPr>
      <t> </t>
    </r>
  </si>
  <si>
    <t>R cellulitis &amp; vertical wound dehiscence</t>
  </si>
  <si>
    <t>herceptin</t>
  </si>
  <si>
    <t>IA </t>
  </si>
  <si>
    <t>0.7 cm</t>
  </si>
  <si>
    <t>pT1bN0</t>
  </si>
  <si>
    <t>explant and washout</t>
  </si>
  <si>
    <t>R IDC &amp; DCIS, TE to implant exchange later at Northshore</t>
  </si>
  <si>
    <t>mastectomy skin flap necrosis</t>
  </si>
  <si>
    <t>bilteral prophylactic BCRA1+</t>
  </si>
  <si>
    <t>0- delayed reconstruction</t>
  </si>
  <si>
    <t>mastectomy skin edge necrosis</t>
  </si>
  <si>
    <r>
      <t>Abemaciclib</t>
    </r>
    <r>
      <rPr>
        <sz val="11"/>
        <color theme="1"/>
        <rFont val="Arial"/>
        <family val="2"/>
      </rPr>
      <t> </t>
    </r>
  </si>
  <si>
    <r>
      <t>pT2N1a</t>
    </r>
    <r>
      <rPr>
        <sz val="11"/>
        <color theme="1"/>
        <rFont val="Arial"/>
        <family val="2"/>
      </rPr>
      <t> </t>
    </r>
  </si>
  <si>
    <t>axillary lymph node excision</t>
  </si>
  <si>
    <r>
      <t> pT2a(m) pN1aM0</t>
    </r>
    <r>
      <rPr>
        <sz val="11"/>
        <color theme="1"/>
        <rFont val="Arial"/>
        <family val="2"/>
      </rPr>
      <t> </t>
    </r>
  </si>
  <si>
    <t xml:space="preserve"> 2.1 x 1.8 x 1.6 cm</t>
  </si>
  <si>
    <t>1- phesgo</t>
  </si>
  <si>
    <t>1-xeloda</t>
  </si>
  <si>
    <t>ypT1b(m)N0(sn)</t>
  </si>
  <si>
    <t>9mm x 7mm</t>
  </si>
  <si>
    <t>bilteral prophylactic BCRA2+</t>
  </si>
  <si>
    <t>vertical?</t>
  </si>
  <si>
    <t>erythema and abscess on R breast</t>
  </si>
  <si>
    <t>intermittant nerve pain</t>
  </si>
  <si>
    <t>abscess requiring I&amp;D</t>
  </si>
  <si>
    <t>left shoulder adhesive capsulitis</t>
  </si>
  <si>
    <r>
      <t>pT1aN0</t>
    </r>
    <r>
      <rPr>
        <sz val="11"/>
        <color theme="1"/>
        <rFont val="Arial"/>
        <family val="2"/>
      </rPr>
      <t> </t>
    </r>
  </si>
  <si>
    <t>5 mm IDC, 5 cm DCIS</t>
  </si>
  <si>
    <t>L IDC &amp; DCIS</t>
  </si>
  <si>
    <t>declines</t>
  </si>
  <si>
    <t>R ILC, L prophylactic</t>
  </si>
  <si>
    <t xml:space="preserve">tamoxifen discont. </t>
  </si>
  <si>
    <t>revision OHS due to capsulorrhaphy</t>
  </si>
  <si>
    <t>asymmetry, implant displacement</t>
  </si>
  <si>
    <t>2.6 cm</t>
  </si>
  <si>
    <r>
      <t>L implant downsize with lateral and inferior capsulorrhaphy</t>
    </r>
    <r>
      <rPr>
        <sz val="11"/>
        <color theme="1"/>
        <rFont val="Arial"/>
        <family val="2"/>
      </rPr>
      <t> </t>
    </r>
  </si>
  <si>
    <t>L IDC, previous breast augmentation implants present</t>
  </si>
  <si>
    <t xml:space="preserve"> pT1bN1a</t>
  </si>
  <si>
    <t>neuropathic pain to IMF</t>
  </si>
  <si>
    <t>0 (node positive but no mention of ALND)</t>
  </si>
  <si>
    <t>numbness</t>
  </si>
  <si>
    <t>1 (4 per year)</t>
  </si>
  <si>
    <t>pT1a(m)N1a</t>
  </si>
  <si>
    <t>1- carbo/taxol</t>
  </si>
  <si>
    <t>3 mm IDC &amp; 5.2 cm DCIS</t>
  </si>
  <si>
    <t>1- after prior L cancer</t>
  </si>
  <si>
    <t>L partial mastectomy &amp; adjuvant RT in 2005, R IDC 2023</t>
  </si>
  <si>
    <t>pain and firmness in breast</t>
  </si>
  <si>
    <t>R persistent seroma following RT</t>
  </si>
  <si>
    <t>R IDC &amp; DCIS</t>
  </si>
  <si>
    <r>
      <t>pT1cN0(sn</t>
    </r>
    <r>
      <rPr>
        <sz val="11"/>
        <color theme="1"/>
        <rFont val="Arial"/>
        <family val="2"/>
      </rPr>
      <t> </t>
    </r>
  </si>
  <si>
    <t>bilateral prophylactic, later TE placement, BCRA2+</t>
  </si>
  <si>
    <t>R incision delayed healing</t>
  </si>
  <si>
    <t>fevers and chills</t>
  </si>
  <si>
    <t>R breast I&amp;D and explant</t>
  </si>
  <si>
    <t>cellulitis w MSSA</t>
  </si>
  <si>
    <t>0- delayed TE and implant reconstruction</t>
  </si>
  <si>
    <r>
      <t>T2N1aM0</t>
    </r>
    <r>
      <rPr>
        <sz val="11"/>
        <color theme="1"/>
        <rFont val="Arial"/>
        <family val="2"/>
      </rPr>
      <t> </t>
    </r>
  </si>
  <si>
    <t>4.8 cm</t>
  </si>
  <si>
    <t>nerve pain</t>
  </si>
  <si>
    <t>zoladex &amp; discont. Tetrozole</t>
  </si>
  <si>
    <t>unknown</t>
  </si>
  <si>
    <t xml:space="preserve"> 4.7 x 3.8 cm</t>
  </si>
  <si>
    <t>neoadj. Tamoxifen; disont. adjuvant zoladex</t>
  </si>
  <si>
    <t>R breast infx</t>
  </si>
  <si>
    <t>hospital admission for abx</t>
  </si>
  <si>
    <t>2.5 mm IDC &amp; 5 cm DCIS</t>
  </si>
  <si>
    <t>excision of node</t>
  </si>
  <si>
    <t>R breast cellulitis</t>
  </si>
  <si>
    <t>cellulitis; washout &amp; exchange</t>
  </si>
  <si>
    <r>
      <t>1.1 and 0.2cm</t>
    </r>
    <r>
      <rPr>
        <sz val="11"/>
        <color theme="1"/>
        <rFont val="Arial"/>
        <family val="2"/>
      </rPr>
      <t> </t>
    </r>
  </si>
  <si>
    <r>
      <t>pT1c N0 M0</t>
    </r>
    <r>
      <rPr>
        <sz val="11"/>
        <color theme="1"/>
        <rFont val="Arial"/>
        <family val="2"/>
      </rPr>
      <t> </t>
    </r>
  </si>
  <si>
    <r>
      <t>pT1bpN0</t>
    </r>
    <r>
      <rPr>
        <sz val="11"/>
        <color theme="1"/>
        <rFont val="Arial"/>
        <family val="2"/>
      </rPr>
      <t> </t>
    </r>
  </si>
  <si>
    <t>1 cm &amp; 3 mm</t>
  </si>
  <si>
    <r>
      <t>1.5 mm and 2mm</t>
    </r>
    <r>
      <rPr>
        <sz val="11"/>
        <color theme="1"/>
        <rFont val="Arial"/>
        <family val="2"/>
      </rPr>
      <t> </t>
    </r>
  </si>
  <si>
    <r>
      <t>pT1a, N0</t>
    </r>
    <r>
      <rPr>
        <sz val="11"/>
        <color theme="1"/>
        <rFont val="Arial"/>
        <family val="2"/>
      </rPr>
      <t> </t>
    </r>
  </si>
  <si>
    <t>sharp intermittant breast pain</t>
  </si>
  <si>
    <t>R ILC  &amp; DCIS</t>
  </si>
  <si>
    <t>R ILC (two stage), L prophylactic (DTI)</t>
  </si>
  <si>
    <t>1- R breast</t>
  </si>
  <si>
    <t>II- R breast</t>
  </si>
  <si>
    <t>bilateral prophylactic, PTEN mutation</t>
  </si>
  <si>
    <t>grade II baker capsular contracture w/out pain</t>
  </si>
  <si>
    <t>numbness to axilla and medial breast skin</t>
  </si>
  <si>
    <t>pT2(m)N0(sn)</t>
  </si>
  <si>
    <t xml:space="preserve"> 3.2 cm and 1.5 cm</t>
  </si>
  <si>
    <t>persistent red itchy rash on face</t>
  </si>
  <si>
    <t>1- mantle radiation 30 years ago for Hodgkin's</t>
  </si>
  <si>
    <t>10 x13 x 14 mm</t>
  </si>
  <si>
    <t>R encapsulation-&gt; flap reconstruction</t>
  </si>
  <si>
    <t>DVT on POD 7</t>
  </si>
  <si>
    <t>R IDC, L IDC</t>
  </si>
  <si>
    <t>R: cT3N1; L: cT1bN0</t>
  </si>
  <si>
    <t>R: 3.5 cm</t>
  </si>
  <si>
    <t>grade III/IV capsular contracture</t>
  </si>
  <si>
    <t>pain in the breast</t>
  </si>
  <si>
    <r>
      <t>ypT2pN1a</t>
    </r>
    <r>
      <rPr>
        <sz val="11"/>
        <color theme="1"/>
        <rFont val="Arial"/>
        <family val="2"/>
      </rPr>
      <t> </t>
    </r>
  </si>
  <si>
    <t>L ILC/IDC/DCIS, R prophylactic</t>
  </si>
  <si>
    <t>30 mm ILC, 3 mm IDC</t>
  </si>
  <si>
    <t>autologous flap due to encapsulation</t>
  </si>
  <si>
    <t>I (ILC) II (IDC)</t>
  </si>
  <si>
    <t>BCRA1+, prophylactic</t>
  </si>
  <si>
    <t>right lateral breast/chest pain associated with her menstrual cycles. </t>
  </si>
  <si>
    <r>
      <t>pT2 (sn) N0</t>
    </r>
    <r>
      <rPr>
        <sz val="11"/>
        <color theme="1"/>
        <rFont val="Arial"/>
        <family val="2"/>
      </rPr>
      <t> </t>
    </r>
  </si>
  <si>
    <t>R IDC, L DCIS, BARD1+</t>
  </si>
  <si>
    <t>III (IDC) II (DCIS)</t>
  </si>
  <si>
    <t xml:space="preserve">open capsulotomy </t>
  </si>
  <si>
    <t>exchange of implants for 800 cc</t>
  </si>
  <si>
    <t>seromas</t>
  </si>
  <si>
    <t>R: 38 mm (IDC); L: 3 mm (DCIS)</t>
  </si>
  <si>
    <t xml:space="preserve">L DCIS </t>
  </si>
  <si>
    <t>prediabetes</t>
  </si>
  <si>
    <t>3.5 cm</t>
  </si>
  <si>
    <t>pTisN0M0</t>
  </si>
  <si>
    <t>arrythmia during surgery</t>
  </si>
  <si>
    <t xml:space="preserve">R IDC, L DCIS </t>
  </si>
  <si>
    <r>
      <t>periareolar approach with lateral radial extension</t>
    </r>
    <r>
      <rPr>
        <sz val="11"/>
        <color rgb="FFFF0000"/>
        <rFont val="Arial"/>
        <family val="2"/>
      </rPr>
      <t> </t>
    </r>
  </si>
  <si>
    <t>II-III</t>
  </si>
  <si>
    <t>burning/pain of R breast</t>
  </si>
  <si>
    <r>
      <t>pT1aN0M0</t>
    </r>
    <r>
      <rPr>
        <sz val="11"/>
        <color theme="1"/>
        <rFont val="Arial"/>
        <family val="2"/>
      </rPr>
      <t> </t>
    </r>
  </si>
  <si>
    <t>0- does DCIS count?</t>
  </si>
  <si>
    <t>1- taxol discont. due to hypersensitivity</t>
  </si>
  <si>
    <t xml:space="preserve">3 mm IDC   </t>
  </si>
  <si>
    <t>swelling and tenderness 1 year post-op</t>
  </si>
  <si>
    <t>IR aspiration of L breast</t>
  </si>
  <si>
    <t>small seroma, resolved with conservative management</t>
  </si>
  <si>
    <t>mild radiation capsular contracture</t>
  </si>
  <si>
    <t>L IDC, R mastopexy</t>
  </si>
  <si>
    <t>1.1 cm</t>
  </si>
  <si>
    <r>
      <t>pT1cN1a</t>
    </r>
    <r>
      <rPr>
        <sz val="11"/>
        <color theme="1"/>
        <rFont val="Arial"/>
        <family val="2"/>
      </rPr>
      <t> </t>
    </r>
  </si>
  <si>
    <t>1- goserelin</t>
  </si>
  <si>
    <t>subtotal capsulectomy and free DIEP flap reconstruction</t>
  </si>
  <si>
    <t>kadcyla -&gt; herceptin and perjeta +/- tucatinib</t>
  </si>
  <si>
    <t>IIIB</t>
  </si>
  <si>
    <t>25 mm</t>
  </si>
  <si>
    <r>
      <t>ypT2 (sn)N1a</t>
    </r>
    <r>
      <rPr>
        <sz val="11"/>
        <color theme="1"/>
        <rFont val="Arial"/>
        <family val="2"/>
      </rPr>
      <t> </t>
    </r>
  </si>
  <si>
    <t>postradiation capsular contracture</t>
  </si>
  <si>
    <t>former vape</t>
  </si>
  <si>
    <r>
      <t>Herceptin/ Perjeta</t>
    </r>
    <r>
      <rPr>
        <sz val="11"/>
        <color theme="1"/>
        <rFont val="Arial"/>
        <family val="2"/>
      </rPr>
      <t> </t>
    </r>
  </si>
  <si>
    <r>
      <t>ypT1b (sn)N0</t>
    </r>
    <r>
      <rPr>
        <sz val="11"/>
        <color theme="1"/>
        <rFont val="Arial"/>
        <family val="2"/>
      </rPr>
      <t> </t>
    </r>
  </si>
  <si>
    <t>kadcycla-1</t>
  </si>
  <si>
    <t>10 mm</t>
  </si>
  <si>
    <t>M</t>
  </si>
  <si>
    <t>bilateral prophylactic, BCRA2+</t>
  </si>
  <si>
    <r>
      <t>pTis(DCIS)N0</t>
    </r>
    <r>
      <rPr>
        <sz val="11"/>
        <color theme="1"/>
        <rFont val="Arial"/>
        <family val="2"/>
      </rPr>
      <t> </t>
    </r>
  </si>
  <si>
    <t>4 cm</t>
  </si>
  <si>
    <t>L DCIS only</t>
  </si>
  <si>
    <t>numbness with some return of sensation</t>
  </si>
  <si>
    <t>tachycardia and a fib.</t>
  </si>
  <si>
    <t xml:space="preserve"> ypT2N1(sn)</t>
  </si>
  <si>
    <t>L IDC, prior augmentation 2020</t>
  </si>
  <si>
    <t>IIIA/ cT3N1M0</t>
  </si>
  <si>
    <t>2.5 &amp; 0.7 cm</t>
  </si>
  <si>
    <r>
      <t>ypT2(m)N0(sn)</t>
    </r>
    <r>
      <rPr>
        <sz val="11"/>
        <color theme="1"/>
        <rFont val="Arial"/>
        <family val="2"/>
      </rPr>
      <t> </t>
    </r>
  </si>
  <si>
    <t>1-ribociclib</t>
  </si>
  <si>
    <t>localized lymphedema</t>
  </si>
  <si>
    <t>pT2(m)N1a(sn)</t>
  </si>
  <si>
    <t>I  (IDC) and II (ILC)</t>
  </si>
  <si>
    <t>4.6 (IDC) &amp; 7 mm (ILC)</t>
  </si>
  <si>
    <t>open capsulotomy and implant exchange for 520</t>
  </si>
  <si>
    <t>R IDC &amp; DCIS, prior implant and mammoplasty 2003</t>
  </si>
  <si>
    <t>3 mm (IDC) &amp; 8 cm (DCIS)</t>
  </si>
  <si>
    <t>pT1apN0sn </t>
  </si>
  <si>
    <r>
      <t>ypT1a(m)N0(sn)</t>
    </r>
    <r>
      <rPr>
        <sz val="11"/>
        <color theme="1"/>
        <rFont val="Arial"/>
        <family val="2"/>
      </rPr>
      <t> </t>
    </r>
  </si>
  <si>
    <t xml:space="preserve">5 mm </t>
  </si>
  <si>
    <t>no TAD? Yes right axillary wire localized node excision</t>
  </si>
  <si>
    <t>R TNBC, L prophylactic</t>
  </si>
  <si>
    <t>L infracapsular rupture</t>
  </si>
  <si>
    <t>ypT0, N0(sn) </t>
  </si>
  <si>
    <t>L breast exchange</t>
  </si>
  <si>
    <t>L IDC, prior mammaplasty and implant from 2004</t>
  </si>
  <si>
    <t xml:space="preserve">8 cm x 4 cm </t>
  </si>
  <si>
    <t>ypT3N2M0</t>
  </si>
  <si>
    <t>implant exposure</t>
  </si>
  <si>
    <t>abscess</t>
  </si>
  <si>
    <t>implant exchange and TE + LD flap</t>
  </si>
  <si>
    <t>infection</t>
  </si>
  <si>
    <t>braest</t>
  </si>
  <si>
    <t xml:space="preserve">2.2cm x 1.3 cm </t>
  </si>
  <si>
    <r>
      <t>YpT2(m)N1</t>
    </r>
    <r>
      <rPr>
        <sz val="11"/>
        <color theme="1"/>
        <rFont val="Arial"/>
        <family val="2"/>
      </rPr>
      <t> </t>
    </r>
  </si>
  <si>
    <r>
      <t>cT2N0M0</t>
    </r>
    <r>
      <rPr>
        <sz val="11"/>
        <color theme="1"/>
        <rFont val="Arial"/>
        <family val="2"/>
      </rPr>
      <t> </t>
    </r>
  </si>
  <si>
    <r>
      <t>1.0cm x 6mm</t>
    </r>
    <r>
      <rPr>
        <sz val="11"/>
        <color theme="1"/>
        <rFont val="Arial"/>
        <family val="2"/>
      </rPr>
      <t> </t>
    </r>
  </si>
  <si>
    <t>R ILC, L prophylactic, BCRA1</t>
  </si>
  <si>
    <r>
      <t>mild epidermalysis</t>
    </r>
    <r>
      <rPr>
        <sz val="11"/>
        <color theme="1"/>
        <rFont val="Arial"/>
        <family val="2"/>
      </rPr>
      <t> </t>
    </r>
  </si>
  <si>
    <t>exposure of implant</t>
  </si>
  <si>
    <t xml:space="preserve">replacement of R implant </t>
  </si>
  <si>
    <t>cellulitis, hematoma</t>
  </si>
  <si>
    <r>
      <t>pT1a, N0(sn)</t>
    </r>
    <r>
      <rPr>
        <sz val="11"/>
        <color theme="1"/>
        <rFont val="Arial"/>
        <family val="2"/>
      </rPr>
      <t> </t>
    </r>
  </si>
  <si>
    <t>5.0 mm</t>
  </si>
  <si>
    <t>R IDC &amp; DCIS, L mastopexy</t>
  </si>
  <si>
    <t>prior chemoradiation for lymphoma 2012</t>
  </si>
  <si>
    <t>L shoulder pain and rash on NAC</t>
  </si>
  <si>
    <t xml:space="preserve">BL prophylactic </t>
  </si>
  <si>
    <t>gestational</t>
  </si>
  <si>
    <t>&lt;1 mm</t>
  </si>
  <si>
    <r>
      <t>ypT0, N0(sn)</t>
    </r>
    <r>
      <rPr>
        <sz val="11"/>
        <color theme="1"/>
        <rFont val="Arial"/>
        <family val="2"/>
      </rPr>
      <t> </t>
    </r>
  </si>
  <si>
    <t>lymphedema &amp; reduced ROM</t>
  </si>
  <si>
    <t>cellulitis of L breast</t>
  </si>
  <si>
    <t>fever, seroma</t>
  </si>
  <si>
    <t>removed expanderes d/t cellulitis, washout</t>
  </si>
  <si>
    <t>pembro- 1</t>
  </si>
  <si>
    <r>
      <t>2.2cm (slices 3-5), 3mm, and 2mm</t>
    </r>
    <r>
      <rPr>
        <sz val="11"/>
        <color theme="1"/>
        <rFont val="Arial"/>
        <family val="2"/>
      </rPr>
      <t> </t>
    </r>
  </si>
  <si>
    <t>pT2(m), N0(i+)(sn) </t>
  </si>
  <si>
    <t>L ILC, R mastopexy</t>
  </si>
  <si>
    <t xml:space="preserve">asian  </t>
  </si>
  <si>
    <t xml:space="preserve">rash postop, </t>
  </si>
  <si>
    <t>T1cN0M0 </t>
  </si>
  <si>
    <t>7.5 cm</t>
  </si>
  <si>
    <r>
      <t>pTis(DCIS)N0(sn)</t>
    </r>
    <r>
      <rPr>
        <sz val="11"/>
        <color theme="1"/>
        <rFont val="Arial"/>
        <family val="2"/>
      </rPr>
      <t> </t>
    </r>
  </si>
  <si>
    <t>L DCIS, bilateral mastectomy</t>
  </si>
  <si>
    <t>TisN0M0 </t>
  </si>
  <si>
    <t>too large- bilateral breast revision with R implant exchange</t>
  </si>
  <si>
    <t>breast revision</t>
  </si>
  <si>
    <r>
      <t>pT1a(m)Nx</t>
    </r>
    <r>
      <rPr>
        <sz val="11"/>
        <color theme="1"/>
        <rFont val="Arial"/>
        <family val="2"/>
      </rPr>
      <t> </t>
    </r>
  </si>
  <si>
    <t>no lymph node identified</t>
  </si>
  <si>
    <t>1 mm</t>
  </si>
  <si>
    <t>revision, capsulectomy, insertion prepec</t>
  </si>
  <si>
    <t>hereptin hylecta</t>
  </si>
  <si>
    <r>
      <t>pT1cN0sn</t>
    </r>
    <r>
      <rPr>
        <sz val="11"/>
        <color theme="1"/>
        <rFont val="Arial"/>
        <family val="2"/>
      </rPr>
      <t> </t>
    </r>
  </si>
  <si>
    <r>
      <t>T1cN0M0</t>
    </r>
    <r>
      <rPr>
        <sz val="11"/>
        <color theme="1"/>
        <rFont val="Arial"/>
        <family val="2"/>
      </rPr>
      <t> </t>
    </r>
  </si>
  <si>
    <t xml:space="preserve">too large- multiple revisions OSH, subpec implant </t>
  </si>
  <si>
    <t>tamoxifen-1</t>
  </si>
  <si>
    <t>breast revision, too large and high</t>
  </si>
  <si>
    <t>pain, stiffness, tingling in bilateral UE fingers</t>
  </si>
  <si>
    <t xml:space="preserve">contour irreg, fat grafting and scar revision on R </t>
  </si>
  <si>
    <t>4 mm &amp; 1.5 mm</t>
  </si>
  <si>
    <t>ypT1a(m), N0(sn) </t>
  </si>
  <si>
    <r>
      <t>ypT1aN1a</t>
    </r>
    <r>
      <rPr>
        <sz val="11"/>
        <color theme="1"/>
        <rFont val="Arial"/>
        <family val="2"/>
      </rPr>
      <t> </t>
    </r>
  </si>
  <si>
    <r>
      <t>5mmx5mm</t>
    </r>
    <r>
      <rPr>
        <sz val="11"/>
        <color theme="1"/>
        <rFont val="Arial"/>
        <family val="2"/>
      </rPr>
      <t> </t>
    </r>
  </si>
  <si>
    <t>keloid scarring</t>
  </si>
  <si>
    <t>asian/mideast indian</t>
  </si>
  <si>
    <r>
      <t>ypT2N0</t>
    </r>
    <r>
      <rPr>
        <sz val="11"/>
        <color theme="1"/>
        <rFont val="Arial"/>
        <family val="2"/>
      </rPr>
      <t> </t>
    </r>
  </si>
  <si>
    <t>herceptin/perjeta</t>
  </si>
  <si>
    <t>seed-localized removal of positive R axillary LN</t>
  </si>
  <si>
    <t>R breast capsulotomy, implant exchange</t>
  </si>
  <si>
    <r>
      <t>2.1 x 1.5 cm</t>
    </r>
    <r>
      <rPr>
        <sz val="11"/>
        <color theme="1"/>
        <rFont val="Arial"/>
        <family val="2"/>
      </rPr>
      <t> </t>
    </r>
  </si>
  <si>
    <t>asymmetry &amp; pain: exchange to DIEP flap</t>
  </si>
  <si>
    <t>int and high</t>
  </si>
  <si>
    <t>0-does DCIS count</t>
  </si>
  <si>
    <t>cTisN0M0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</si>
</sst>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0"/>
      <color theme="1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2" fillId="0" borderId="0" xfId="0" applyFont="1"/>
    <xf numFmtId="2" fontId="0" fillId="2" borderId="0" xfId="0" applyNumberFormat="1" applyFill="1"/>
    <xf numFmtId="2" fontId="1" fillId="0" borderId="0" xfId="0" applyNumberFormat="1" applyFont="1"/>
    <xf numFmtId="2" fontId="0" fillId="0" borderId="0" xfId="0" applyNumberFormat="1"/>
    <xf numFmtId="2" fontId="0" fillId="3" borderId="0" xfId="0" applyNumberFormat="1" applyFill="1"/>
    <xf numFmtId="0" fontId="3" fillId="0" borderId="0" xfId="0" applyFont="1"/>
    <xf numFmtId="0" fontId="5" fillId="0" borderId="0" xfId="0" applyFont="1"/>
    <xf numFmtId="0" fontId="0" fillId="4" borderId="0" xfId="0" applyFill="1"/>
    <xf numFmtId="14" fontId="0" fillId="4" borderId="0" xfId="0" applyNumberFormat="1" applyFill="1"/>
    <xf numFmtId="0" fontId="7" fillId="2" borderId="0" xfId="0" applyFont="1" applyFill="1"/>
    <xf numFmtId="2" fontId="7" fillId="2" borderId="0" xfId="0" applyNumberFormat="1" applyFont="1" applyFill="1"/>
    <xf numFmtId="0" fontId="6" fillId="2" borderId="0" xfId="0" applyFont="1" applyFill="1"/>
    <xf numFmtId="14" fontId="1" fillId="0" borderId="0" xfId="0" applyNumberFormat="1" applyFont="1"/>
    <xf numFmtId="2" fontId="2" fillId="0" borderId="0" xfId="0" applyNumberFormat="1" applyFont="1"/>
    <xf numFmtId="0" fontId="1" fillId="4" borderId="0" xfId="0" applyFont="1" applyFill="1"/>
    <xf numFmtId="2" fontId="8" fillId="2" borderId="0" xfId="0" applyNumberFormat="1" applyFont="1" applyFill="1"/>
    <xf numFmtId="0" fontId="9" fillId="2" borderId="0" xfId="0" applyFont="1" applyFill="1"/>
    <xf numFmtId="0" fontId="8" fillId="2" borderId="0" xfId="0" applyFont="1" applyFill="1"/>
    <xf numFmtId="0" fontId="11" fillId="0" borderId="0" xfId="0" applyFont="1"/>
    <xf numFmtId="2" fontId="0" fillId="4" borderId="0" xfId="0" applyNumberFormat="1" applyFill="1"/>
    <xf numFmtId="0" fontId="11" fillId="4" borderId="0" xfId="0" applyFont="1" applyFill="1"/>
    <xf numFmtId="14" fontId="2" fillId="4" borderId="0" xfId="0" applyNumberFormat="1" applyFont="1" applyFill="1"/>
    <xf numFmtId="0" fontId="2" fillId="4" borderId="0" xfId="0" applyFont="1" applyFill="1"/>
    <xf numFmtId="0" fontId="10" fillId="0" borderId="0" xfId="0" applyFont="1"/>
    <xf numFmtId="0" fontId="0" fillId="0" borderId="0" xfId="0" applyFont="1"/>
    <xf numFmtId="0" fontId="12" fillId="0" borderId="0" xfId="0" applyFont="1"/>
    <xf numFmtId="0" fontId="7" fillId="4" borderId="0" xfId="0" applyFont="1" applyFill="1"/>
    <xf numFmtId="14" fontId="2" fillId="0" borderId="0" xfId="0" applyNumberFormat="1" applyFont="1"/>
    <xf numFmtId="14" fontId="0" fillId="0" borderId="0" xfId="0" applyNumberFormat="1" applyFont="1"/>
    <xf numFmtId="2" fontId="0" fillId="0" borderId="0" xfId="0" applyNumberFormat="1" applyFont="1"/>
    <xf numFmtId="0" fontId="0" fillId="4" borderId="0" xfId="0" applyFont="1" applyFill="1"/>
    <xf numFmtId="2" fontId="2" fillId="4" borderId="0" xfId="0" applyNumberFormat="1" applyFont="1" applyFill="1"/>
    <xf numFmtId="0" fontId="0" fillId="0" borderId="0" xfId="0" applyFont="1" applyFill="1"/>
    <xf numFmtId="0" fontId="2" fillId="0" borderId="0" xfId="0" applyFont="1" applyFill="1"/>
    <xf numFmtId="0" fontId="0" fillId="0" borderId="0" xfId="0" applyFill="1"/>
    <xf numFmtId="0" fontId="0" fillId="5" borderId="0" xfId="0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DC17-C587-D64E-9C79-5E60928EE50E}">
  <dimension ref="A1:BA98"/>
  <sheetViews>
    <sheetView tabSelected="1" topLeftCell="F1" zoomScale="87" zoomScaleNormal="87" workbookViewId="0">
      <selection sqref="A1:A1048576"/>
    </sheetView>
  </sheetViews>
  <sheetFormatPr baseColWidth="10" defaultRowHeight="16" x14ac:dyDescent="0.2"/>
  <cols>
    <col min="3" max="3" width="45.6640625" customWidth="1"/>
    <col min="4" max="4" width="10.6640625" customWidth="1"/>
    <col min="5" max="5" width="10" customWidth="1"/>
    <col min="6" max="6" width="12.1640625" style="9" customWidth="1"/>
    <col min="8" max="8" width="10.1640625" customWidth="1"/>
    <col min="9" max="9" width="23.1640625" customWidth="1"/>
    <col min="10" max="10" width="14.33203125" customWidth="1"/>
    <col min="11" max="13" width="7.33203125" customWidth="1"/>
    <col min="14" max="14" width="10" customWidth="1"/>
    <col min="15" max="15" width="10.6640625" customWidth="1"/>
    <col min="19" max="19" width="19.5" customWidth="1"/>
    <col min="20" max="20" width="21.1640625" customWidth="1"/>
    <col min="21" max="21" width="27.5" customWidth="1"/>
    <col min="22" max="22" width="28.83203125" customWidth="1"/>
    <col min="23" max="23" width="15.83203125" customWidth="1"/>
    <col min="24" max="24" width="21.83203125" customWidth="1"/>
    <col min="25" max="25" width="31" customWidth="1"/>
    <col min="26" max="26" width="13.83203125" customWidth="1"/>
    <col min="28" max="28" width="24.6640625" customWidth="1"/>
    <col min="29" max="29" width="22.33203125" customWidth="1"/>
    <col min="30" max="30" width="19.83203125" customWidth="1"/>
    <col min="31" max="31" width="16.33203125" customWidth="1"/>
    <col min="33" max="33" width="17.6640625" customWidth="1"/>
    <col min="34" max="34" width="16.33203125" customWidth="1"/>
    <col min="36" max="36" width="16.1640625" customWidth="1"/>
    <col min="37" max="37" width="19.83203125" customWidth="1"/>
    <col min="40" max="40" width="25.1640625" customWidth="1"/>
    <col min="41" max="41" width="15.5" customWidth="1"/>
    <col min="42" max="42" width="16.1640625" customWidth="1"/>
    <col min="43" max="43" width="17.5" customWidth="1"/>
    <col min="44" max="44" width="18.33203125" customWidth="1"/>
    <col min="45" max="45" width="20.83203125" customWidth="1"/>
    <col min="46" max="46" width="19.5" customWidth="1"/>
    <col min="47" max="47" width="32.6640625" customWidth="1"/>
    <col min="48" max="48" width="20.5" customWidth="1"/>
    <col min="49" max="49" width="21.6640625" customWidth="1"/>
    <col min="50" max="50" width="22.6640625" customWidth="1"/>
    <col min="51" max="51" width="38.83203125" customWidth="1"/>
  </cols>
  <sheetData>
    <row r="1" spans="1:53" s="17" customFormat="1" x14ac:dyDescent="0.2">
      <c r="A1" s="15" t="s">
        <v>2</v>
      </c>
      <c r="B1" s="15" t="s">
        <v>18</v>
      </c>
      <c r="C1" s="15" t="s">
        <v>20</v>
      </c>
      <c r="D1" s="15" t="s">
        <v>0</v>
      </c>
      <c r="E1" s="16" t="s">
        <v>48</v>
      </c>
      <c r="F1" s="21" t="s">
        <v>49</v>
      </c>
      <c r="G1" s="15" t="s">
        <v>50</v>
      </c>
      <c r="H1" s="15" t="s">
        <v>1</v>
      </c>
      <c r="I1" s="15" t="s">
        <v>51</v>
      </c>
      <c r="J1" s="15" t="s">
        <v>52</v>
      </c>
      <c r="K1" s="15" t="s">
        <v>53</v>
      </c>
      <c r="L1" s="15" t="s">
        <v>54</v>
      </c>
      <c r="M1" s="17" t="s">
        <v>98</v>
      </c>
      <c r="N1" s="22" t="s">
        <v>212</v>
      </c>
      <c r="O1" s="15" t="s">
        <v>6</v>
      </c>
      <c r="P1" s="15" t="s">
        <v>7</v>
      </c>
      <c r="Q1" s="15" t="s">
        <v>37</v>
      </c>
      <c r="R1" s="15" t="s">
        <v>41</v>
      </c>
      <c r="S1" s="15" t="s">
        <v>3</v>
      </c>
      <c r="T1" s="15" t="s">
        <v>57</v>
      </c>
      <c r="U1" s="15" t="s">
        <v>58</v>
      </c>
      <c r="V1" s="15" t="s">
        <v>77</v>
      </c>
      <c r="W1" s="15" t="s">
        <v>59</v>
      </c>
      <c r="X1" s="15" t="s">
        <v>39</v>
      </c>
      <c r="Y1" s="15" t="s">
        <v>38</v>
      </c>
      <c r="Z1" s="15" t="s">
        <v>110</v>
      </c>
      <c r="AA1" s="15" t="s">
        <v>60</v>
      </c>
      <c r="AB1" s="23" t="s">
        <v>139</v>
      </c>
      <c r="AC1" s="23" t="s">
        <v>156</v>
      </c>
      <c r="AD1" s="15" t="s">
        <v>78</v>
      </c>
      <c r="AE1" s="15" t="s">
        <v>40</v>
      </c>
      <c r="AF1" s="15" t="s">
        <v>44</v>
      </c>
      <c r="AG1" s="15" t="s">
        <v>45</v>
      </c>
      <c r="AH1" s="15" t="s">
        <v>46</v>
      </c>
      <c r="AI1" s="15" t="s">
        <v>4</v>
      </c>
      <c r="AJ1" s="15" t="s">
        <v>43</v>
      </c>
      <c r="AK1" s="15" t="s">
        <v>67</v>
      </c>
      <c r="AL1" s="15" t="s">
        <v>73</v>
      </c>
      <c r="AM1" s="15" t="s">
        <v>74</v>
      </c>
      <c r="AN1" s="15" t="s">
        <v>5</v>
      </c>
      <c r="AO1" s="15" t="s">
        <v>8</v>
      </c>
      <c r="AP1" s="15" t="s">
        <v>47</v>
      </c>
      <c r="AQ1" s="15" t="s">
        <v>15</v>
      </c>
      <c r="AR1" s="15" t="s">
        <v>12</v>
      </c>
      <c r="AS1" s="15" t="s">
        <v>13</v>
      </c>
      <c r="AT1" s="15" t="s">
        <v>93</v>
      </c>
      <c r="AU1" s="15" t="s">
        <v>61</v>
      </c>
      <c r="AV1" s="15" t="s">
        <v>70</v>
      </c>
      <c r="AW1" s="15" t="s">
        <v>14</v>
      </c>
      <c r="AX1" s="15" t="s">
        <v>55</v>
      </c>
      <c r="AY1" s="15" t="s">
        <v>56</v>
      </c>
      <c r="AZ1" s="15" t="s">
        <v>16</v>
      </c>
      <c r="BA1" s="15" t="s">
        <v>17</v>
      </c>
    </row>
    <row r="2" spans="1:53" x14ac:dyDescent="0.2">
      <c r="A2">
        <v>2019</v>
      </c>
      <c r="B2" s="2">
        <v>43845</v>
      </c>
      <c r="C2" s="2" t="s">
        <v>138</v>
      </c>
      <c r="D2" s="18">
        <v>28835</v>
      </c>
      <c r="E2" s="1">
        <f ca="1">YEARFRAC(D2,TODAY())</f>
        <v>47.202777777777776</v>
      </c>
      <c r="F2" s="8">
        <v>20.09</v>
      </c>
      <c r="G2" s="1" t="s">
        <v>63</v>
      </c>
      <c r="H2" s="1" t="s">
        <v>64</v>
      </c>
      <c r="I2" s="1">
        <v>0</v>
      </c>
      <c r="J2" s="1">
        <v>0</v>
      </c>
      <c r="K2" s="1"/>
      <c r="L2">
        <v>0</v>
      </c>
      <c r="M2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 t="s">
        <v>42</v>
      </c>
      <c r="T2" s="1">
        <v>1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1</v>
      </c>
      <c r="AE2" s="1">
        <v>0</v>
      </c>
      <c r="AF2" s="1">
        <v>1</v>
      </c>
      <c r="AG2" s="1">
        <v>0</v>
      </c>
      <c r="AH2" s="1">
        <v>0</v>
      </c>
      <c r="AI2" s="1" t="s">
        <v>106</v>
      </c>
      <c r="AJ2" s="1">
        <v>2</v>
      </c>
      <c r="AK2" s="1">
        <v>0</v>
      </c>
      <c r="AL2" s="1"/>
      <c r="AM2" s="1" t="s">
        <v>137</v>
      </c>
      <c r="AN2" s="1" t="s">
        <v>140</v>
      </c>
      <c r="AO2" s="1">
        <v>0</v>
      </c>
      <c r="AP2" s="18">
        <v>45754</v>
      </c>
      <c r="AQ2" s="20" t="s">
        <v>68</v>
      </c>
      <c r="AR2" s="20" t="s">
        <v>141</v>
      </c>
      <c r="AS2" s="1"/>
      <c r="AT2" s="1"/>
      <c r="AU2" s="1"/>
      <c r="AV2" s="1">
        <v>0</v>
      </c>
      <c r="AW2" s="1"/>
      <c r="AX2" s="1">
        <v>0</v>
      </c>
      <c r="AY2" s="1">
        <v>0</v>
      </c>
      <c r="AZ2">
        <v>200</v>
      </c>
      <c r="BA2" t="s">
        <v>97</v>
      </c>
    </row>
    <row r="3" spans="1:53" x14ac:dyDescent="0.2">
      <c r="A3" t="s">
        <v>144</v>
      </c>
      <c r="B3" s="2">
        <v>43868</v>
      </c>
      <c r="C3" s="2" t="s">
        <v>142</v>
      </c>
      <c r="D3" s="2">
        <v>30389</v>
      </c>
      <c r="E3" s="1">
        <f t="shared" ref="E3:E27" ca="1" si="0">YEARFRAC(D3,TODAY())</f>
        <v>42.944444444444443</v>
      </c>
      <c r="F3" s="9">
        <v>24.72</v>
      </c>
      <c r="G3" t="s">
        <v>63</v>
      </c>
      <c r="H3" s="2" t="s">
        <v>64</v>
      </c>
      <c r="I3">
        <v>0</v>
      </c>
      <c r="J3">
        <v>0</v>
      </c>
      <c r="K3" s="2"/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 t="s">
        <v>42</v>
      </c>
      <c r="T3">
        <v>1</v>
      </c>
      <c r="U3">
        <v>0</v>
      </c>
      <c r="V3">
        <v>0</v>
      </c>
      <c r="W3">
        <v>0</v>
      </c>
      <c r="X3" t="s">
        <v>144</v>
      </c>
      <c r="Y3" t="s">
        <v>144</v>
      </c>
      <c r="Z3" t="s">
        <v>144</v>
      </c>
      <c r="AA3" t="s">
        <v>144</v>
      </c>
      <c r="AB3" t="s">
        <v>144</v>
      </c>
      <c r="AC3">
        <v>1</v>
      </c>
      <c r="AD3" t="s">
        <v>144</v>
      </c>
      <c r="AE3" t="s">
        <v>144</v>
      </c>
      <c r="AF3" t="s">
        <v>144</v>
      </c>
      <c r="AG3" t="s">
        <v>144</v>
      </c>
      <c r="AH3" t="s">
        <v>144</v>
      </c>
      <c r="AI3" t="s">
        <v>144</v>
      </c>
      <c r="AJ3">
        <v>2</v>
      </c>
      <c r="AK3">
        <v>0</v>
      </c>
      <c r="AL3" t="s">
        <v>144</v>
      </c>
      <c r="AM3" t="s">
        <v>144</v>
      </c>
      <c r="AN3" t="s">
        <v>144</v>
      </c>
      <c r="AO3">
        <v>0</v>
      </c>
      <c r="AP3" s="2">
        <v>44581</v>
      </c>
      <c r="AQ3" t="s">
        <v>72</v>
      </c>
      <c r="AU3" t="s">
        <v>143</v>
      </c>
      <c r="AV3">
        <v>0</v>
      </c>
      <c r="AX3">
        <v>0</v>
      </c>
      <c r="AY3">
        <v>0</v>
      </c>
      <c r="AZ3">
        <v>440</v>
      </c>
      <c r="BA3" t="s">
        <v>97</v>
      </c>
    </row>
    <row r="4" spans="1:53" s="13" customFormat="1" x14ac:dyDescent="0.2">
      <c r="B4" s="27">
        <v>43565</v>
      </c>
      <c r="C4" s="14" t="s">
        <v>145</v>
      </c>
      <c r="D4" s="14">
        <v>23937</v>
      </c>
      <c r="E4" s="1">
        <f t="shared" ca="1" si="0"/>
        <v>60.611111111111114</v>
      </c>
      <c r="F4" s="25">
        <v>21.65</v>
      </c>
      <c r="G4" s="13" t="s">
        <v>63</v>
      </c>
      <c r="H4" s="14" t="s">
        <v>64</v>
      </c>
      <c r="I4" s="13">
        <v>0</v>
      </c>
      <c r="J4" s="13">
        <v>0</v>
      </c>
      <c r="K4" s="14"/>
      <c r="L4" s="13">
        <v>0</v>
      </c>
      <c r="M4" s="13">
        <v>0</v>
      </c>
      <c r="N4" s="13">
        <v>0</v>
      </c>
      <c r="O4" s="13" t="s">
        <v>118</v>
      </c>
      <c r="P4" s="13">
        <v>0</v>
      </c>
      <c r="Q4" s="13">
        <v>0</v>
      </c>
      <c r="R4" s="13">
        <v>1</v>
      </c>
      <c r="S4" s="13" t="s">
        <v>42</v>
      </c>
      <c r="T4" s="13">
        <v>1</v>
      </c>
      <c r="U4" s="13">
        <v>0</v>
      </c>
      <c r="V4" s="13">
        <v>0</v>
      </c>
      <c r="W4" s="13">
        <v>0</v>
      </c>
      <c r="X4" s="13" t="s">
        <v>144</v>
      </c>
      <c r="Y4" s="26" t="s">
        <v>144</v>
      </c>
      <c r="Z4" s="26" t="s">
        <v>144</v>
      </c>
      <c r="AA4" s="26" t="s">
        <v>144</v>
      </c>
      <c r="AB4" s="26" t="s">
        <v>144</v>
      </c>
      <c r="AC4" s="13">
        <v>1</v>
      </c>
      <c r="AD4" s="13">
        <v>1</v>
      </c>
      <c r="AE4" s="13">
        <v>0</v>
      </c>
      <c r="AF4" s="13" t="s">
        <v>144</v>
      </c>
      <c r="AG4" s="13" t="s">
        <v>144</v>
      </c>
      <c r="AH4" s="13" t="s">
        <v>144</v>
      </c>
      <c r="AI4" s="13" t="s">
        <v>144</v>
      </c>
      <c r="AJ4" s="13">
        <v>0</v>
      </c>
      <c r="AK4" s="13">
        <v>0</v>
      </c>
      <c r="AL4" s="13" t="s">
        <v>144</v>
      </c>
      <c r="AM4" s="13" t="s">
        <v>144</v>
      </c>
      <c r="AN4" s="13" t="s">
        <v>146</v>
      </c>
      <c r="AO4" s="13">
        <v>0</v>
      </c>
      <c r="AP4" s="14">
        <v>45132</v>
      </c>
      <c r="AQ4" s="13" t="s">
        <v>68</v>
      </c>
      <c r="AR4" s="13" t="s">
        <v>148</v>
      </c>
      <c r="AV4" s="13">
        <v>1</v>
      </c>
      <c r="AW4" s="13" t="s">
        <v>147</v>
      </c>
      <c r="AX4" s="13">
        <v>1</v>
      </c>
      <c r="AY4" s="13">
        <v>1</v>
      </c>
      <c r="AZ4" s="13">
        <v>600</v>
      </c>
      <c r="BA4" s="13" t="s">
        <v>97</v>
      </c>
    </row>
    <row r="5" spans="1:53" s="13" customFormat="1" x14ac:dyDescent="0.2">
      <c r="B5" s="14">
        <v>44055</v>
      </c>
      <c r="C5" s="14" t="s">
        <v>149</v>
      </c>
      <c r="D5" s="14">
        <v>21807</v>
      </c>
      <c r="E5" s="1">
        <f t="shared" ca="1" si="0"/>
        <v>66.444444444444443</v>
      </c>
      <c r="F5" s="25">
        <v>30.88</v>
      </c>
      <c r="G5" s="13" t="s">
        <v>63</v>
      </c>
      <c r="H5" s="14" t="s">
        <v>64</v>
      </c>
      <c r="I5" s="13">
        <v>1</v>
      </c>
      <c r="J5" s="13">
        <v>0</v>
      </c>
      <c r="K5" s="14"/>
      <c r="L5" s="13">
        <v>1</v>
      </c>
      <c r="M5" s="13">
        <v>0</v>
      </c>
      <c r="N5" s="13">
        <v>0</v>
      </c>
      <c r="O5" s="13">
        <v>0</v>
      </c>
      <c r="P5" s="13">
        <v>1</v>
      </c>
      <c r="Q5" s="13" t="s">
        <v>102</v>
      </c>
      <c r="R5" s="13" t="s">
        <v>102</v>
      </c>
      <c r="S5" s="13" t="s">
        <v>42</v>
      </c>
      <c r="U5" s="13">
        <v>1</v>
      </c>
      <c r="AZ5" s="13">
        <v>600</v>
      </c>
      <c r="BA5" s="13" t="s">
        <v>97</v>
      </c>
    </row>
    <row r="6" spans="1:53" x14ac:dyDescent="0.2">
      <c r="A6">
        <v>2020</v>
      </c>
      <c r="B6" s="2">
        <v>44027</v>
      </c>
      <c r="C6" t="s">
        <v>152</v>
      </c>
      <c r="D6" s="2">
        <v>31680</v>
      </c>
      <c r="E6" s="1">
        <f t="shared" ca="1" si="0"/>
        <v>39.413888888888891</v>
      </c>
      <c r="F6" s="9">
        <v>22.87</v>
      </c>
      <c r="G6" t="s">
        <v>63</v>
      </c>
      <c r="H6" s="2" t="s">
        <v>90</v>
      </c>
      <c r="I6">
        <v>0</v>
      </c>
      <c r="J6">
        <v>0</v>
      </c>
      <c r="K6" s="2"/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 t="s">
        <v>42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 t="s">
        <v>106</v>
      </c>
      <c r="AJ6">
        <v>2</v>
      </c>
      <c r="AK6">
        <v>0</v>
      </c>
      <c r="AM6" t="s">
        <v>151</v>
      </c>
      <c r="AN6" s="11" t="s">
        <v>153</v>
      </c>
      <c r="AO6">
        <v>0</v>
      </c>
      <c r="AP6" s="2">
        <v>44775</v>
      </c>
      <c r="AQ6" t="s">
        <v>68</v>
      </c>
      <c r="AR6" t="s">
        <v>160</v>
      </c>
      <c r="AS6" t="s">
        <v>154</v>
      </c>
      <c r="AT6" t="s">
        <v>85</v>
      </c>
      <c r="AV6">
        <v>1</v>
      </c>
      <c r="AW6" t="s">
        <v>150</v>
      </c>
      <c r="AX6">
        <v>1</v>
      </c>
      <c r="AY6" t="s">
        <v>155</v>
      </c>
      <c r="AZ6">
        <v>300</v>
      </c>
      <c r="BA6" t="s">
        <v>97</v>
      </c>
    </row>
    <row r="7" spans="1:53" x14ac:dyDescent="0.2">
      <c r="A7">
        <v>2019</v>
      </c>
      <c r="B7" s="2">
        <v>44048</v>
      </c>
      <c r="C7" t="s">
        <v>162</v>
      </c>
      <c r="D7" s="2">
        <v>23434</v>
      </c>
      <c r="E7" s="1">
        <f t="shared" ca="1" si="0"/>
        <v>61.991666666666667</v>
      </c>
      <c r="F7" s="9">
        <v>24.57</v>
      </c>
      <c r="G7" t="s">
        <v>63</v>
      </c>
      <c r="H7" s="2" t="s">
        <v>64</v>
      </c>
      <c r="I7">
        <v>1</v>
      </c>
      <c r="J7">
        <v>0</v>
      </c>
      <c r="K7" s="2"/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 t="s">
        <v>42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 t="s">
        <v>106</v>
      </c>
      <c r="AJ7">
        <v>1</v>
      </c>
      <c r="AK7">
        <v>1</v>
      </c>
      <c r="AM7" t="s">
        <v>157</v>
      </c>
      <c r="AN7" t="s">
        <v>159</v>
      </c>
      <c r="AO7">
        <v>0</v>
      </c>
      <c r="AP7" s="2">
        <v>45000</v>
      </c>
      <c r="AQ7" t="s">
        <v>68</v>
      </c>
      <c r="AR7" t="s">
        <v>160</v>
      </c>
      <c r="AS7" t="s">
        <v>81</v>
      </c>
      <c r="AU7" t="s">
        <v>158</v>
      </c>
      <c r="AV7">
        <v>1</v>
      </c>
      <c r="AW7" t="s">
        <v>161</v>
      </c>
      <c r="AX7">
        <v>1</v>
      </c>
      <c r="AY7">
        <v>1</v>
      </c>
      <c r="AZ7">
        <v>425</v>
      </c>
      <c r="BA7" t="s">
        <v>97</v>
      </c>
    </row>
    <row r="8" spans="1:53" x14ac:dyDescent="0.2">
      <c r="B8" s="2">
        <v>44127</v>
      </c>
      <c r="C8" t="s">
        <v>163</v>
      </c>
      <c r="D8" s="2">
        <v>24739</v>
      </c>
      <c r="E8" s="1">
        <f t="shared" ca="1" si="0"/>
        <v>58.416666666666664</v>
      </c>
      <c r="F8" s="9">
        <v>17.78</v>
      </c>
      <c r="G8" t="s">
        <v>63</v>
      </c>
      <c r="H8" s="2" t="s">
        <v>64</v>
      </c>
      <c r="I8">
        <v>0</v>
      </c>
      <c r="J8">
        <v>0</v>
      </c>
      <c r="K8" s="2"/>
      <c r="L8">
        <v>0</v>
      </c>
      <c r="M8">
        <v>0</v>
      </c>
      <c r="N8">
        <v>0</v>
      </c>
      <c r="O8" t="s">
        <v>118</v>
      </c>
      <c r="P8">
        <v>1</v>
      </c>
      <c r="Q8">
        <v>1</v>
      </c>
      <c r="R8">
        <v>0</v>
      </c>
      <c r="S8" t="s">
        <v>42</v>
      </c>
      <c r="T8">
        <v>1</v>
      </c>
      <c r="U8">
        <v>0</v>
      </c>
      <c r="V8">
        <v>0</v>
      </c>
      <c r="W8">
        <v>0</v>
      </c>
      <c r="X8" s="24" t="s">
        <v>144</v>
      </c>
      <c r="Y8" s="24" t="s">
        <v>144</v>
      </c>
      <c r="Z8" s="24" t="s">
        <v>144</v>
      </c>
      <c r="AA8" s="24" t="s">
        <v>144</v>
      </c>
      <c r="AB8" s="24" t="s">
        <v>144</v>
      </c>
      <c r="AC8">
        <v>1</v>
      </c>
      <c r="AD8">
        <v>0</v>
      </c>
      <c r="AE8">
        <v>0</v>
      </c>
      <c r="AF8" t="s">
        <v>144</v>
      </c>
      <c r="AG8" t="s">
        <v>144</v>
      </c>
      <c r="AH8" t="s">
        <v>144</v>
      </c>
      <c r="AI8" s="24" t="s">
        <v>144</v>
      </c>
      <c r="AJ8">
        <v>2</v>
      </c>
      <c r="AK8" s="24" t="s">
        <v>144</v>
      </c>
      <c r="AL8" s="24" t="s">
        <v>144</v>
      </c>
      <c r="AM8" s="24" t="s">
        <v>144</v>
      </c>
      <c r="AN8" s="24" t="s">
        <v>144</v>
      </c>
      <c r="AO8">
        <v>0</v>
      </c>
      <c r="AP8" s="2">
        <v>45950</v>
      </c>
      <c r="AQ8" s="24" t="s">
        <v>72</v>
      </c>
      <c r="AU8">
        <v>0</v>
      </c>
      <c r="AV8">
        <v>1</v>
      </c>
      <c r="AW8" t="s">
        <v>164</v>
      </c>
      <c r="AX8">
        <v>1</v>
      </c>
      <c r="AY8" t="s">
        <v>165</v>
      </c>
      <c r="AZ8">
        <v>170</v>
      </c>
      <c r="BA8" t="s">
        <v>97</v>
      </c>
    </row>
    <row r="9" spans="1:53" x14ac:dyDescent="0.2">
      <c r="A9">
        <v>2020</v>
      </c>
      <c r="B9" s="2">
        <v>44153</v>
      </c>
      <c r="C9" t="s">
        <v>166</v>
      </c>
      <c r="D9" s="2">
        <v>32050</v>
      </c>
      <c r="E9" s="1">
        <f t="shared" ca="1" si="0"/>
        <v>38.4</v>
      </c>
      <c r="F9" s="9">
        <v>21.96</v>
      </c>
      <c r="G9" t="s">
        <v>63</v>
      </c>
      <c r="H9" s="2" t="s">
        <v>64</v>
      </c>
      <c r="I9">
        <v>0</v>
      </c>
      <c r="J9">
        <v>0</v>
      </c>
      <c r="K9" s="2"/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 t="s">
        <v>42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 t="s">
        <v>106</v>
      </c>
      <c r="AJ9">
        <v>2</v>
      </c>
      <c r="AK9">
        <v>1</v>
      </c>
      <c r="AL9" t="s">
        <v>168</v>
      </c>
      <c r="AM9" t="s">
        <v>167</v>
      </c>
      <c r="AN9" t="s">
        <v>169</v>
      </c>
      <c r="AO9">
        <v>0</v>
      </c>
      <c r="AP9" s="2">
        <v>45028</v>
      </c>
      <c r="AQ9" t="s">
        <v>72</v>
      </c>
      <c r="AR9" t="s">
        <v>170</v>
      </c>
      <c r="AU9">
        <v>0</v>
      </c>
      <c r="AV9">
        <v>0</v>
      </c>
      <c r="AX9">
        <v>0</v>
      </c>
      <c r="AY9">
        <v>0</v>
      </c>
      <c r="AZ9">
        <v>240</v>
      </c>
      <c r="BA9" t="s">
        <v>97</v>
      </c>
    </row>
    <row r="10" spans="1:53" x14ac:dyDescent="0.2">
      <c r="A10" s="24" t="s">
        <v>144</v>
      </c>
      <c r="B10" s="2">
        <v>44169</v>
      </c>
      <c r="C10" t="s">
        <v>171</v>
      </c>
      <c r="D10" s="2">
        <v>30752</v>
      </c>
      <c r="E10" s="1">
        <f t="shared" ca="1" si="0"/>
        <v>41.952777777777776</v>
      </c>
      <c r="F10" s="9">
        <v>21.97</v>
      </c>
      <c r="G10" t="s">
        <v>63</v>
      </c>
      <c r="H10" s="2" t="s">
        <v>64</v>
      </c>
      <c r="I10">
        <v>0</v>
      </c>
      <c r="J10">
        <v>0</v>
      </c>
      <c r="K10" s="2"/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 t="s">
        <v>42</v>
      </c>
      <c r="T10">
        <v>1</v>
      </c>
      <c r="U10">
        <v>0</v>
      </c>
      <c r="V10">
        <v>0</v>
      </c>
      <c r="W10">
        <v>0</v>
      </c>
      <c r="X10" t="s">
        <v>144</v>
      </c>
      <c r="Y10" t="s">
        <v>144</v>
      </c>
      <c r="Z10" t="s">
        <v>144</v>
      </c>
      <c r="AA10" t="s">
        <v>144</v>
      </c>
      <c r="AB10" t="s">
        <v>144</v>
      </c>
      <c r="AC10">
        <v>1</v>
      </c>
      <c r="AD10" t="s">
        <v>144</v>
      </c>
      <c r="AE10" t="s">
        <v>144</v>
      </c>
      <c r="AF10" t="s">
        <v>144</v>
      </c>
      <c r="AG10" t="s">
        <v>144</v>
      </c>
      <c r="AH10" t="s">
        <v>144</v>
      </c>
      <c r="AI10" t="s">
        <v>144</v>
      </c>
      <c r="AJ10">
        <v>2</v>
      </c>
      <c r="AK10" t="s">
        <v>144</v>
      </c>
      <c r="AL10" t="s">
        <v>144</v>
      </c>
      <c r="AM10" t="s">
        <v>144</v>
      </c>
      <c r="AN10" t="s">
        <v>144</v>
      </c>
      <c r="AO10">
        <v>0</v>
      </c>
      <c r="AP10" s="2">
        <v>45419</v>
      </c>
      <c r="AQ10" t="s">
        <v>68</v>
      </c>
      <c r="AR10" t="s">
        <v>173</v>
      </c>
      <c r="AU10" t="s">
        <v>172</v>
      </c>
      <c r="AV10">
        <v>1</v>
      </c>
      <c r="AW10" t="s">
        <v>174</v>
      </c>
      <c r="AX10">
        <v>0</v>
      </c>
      <c r="AY10">
        <v>0</v>
      </c>
      <c r="AZ10">
        <v>385</v>
      </c>
      <c r="BA10" t="s">
        <v>97</v>
      </c>
    </row>
    <row r="11" spans="1:53" x14ac:dyDescent="0.2">
      <c r="A11">
        <v>2020</v>
      </c>
      <c r="B11" s="2">
        <v>44188</v>
      </c>
      <c r="C11" t="s">
        <v>138</v>
      </c>
      <c r="D11" s="2">
        <v>34748</v>
      </c>
      <c r="E11" s="1">
        <f t="shared" ca="1" si="0"/>
        <v>31.016666666666666</v>
      </c>
      <c r="F11" s="9">
        <v>22.31</v>
      </c>
      <c r="G11" t="s">
        <v>63</v>
      </c>
      <c r="H11" s="2" t="s">
        <v>64</v>
      </c>
      <c r="I11">
        <v>0</v>
      </c>
      <c r="J11">
        <v>0</v>
      </c>
      <c r="K11" s="2"/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 t="s">
        <v>42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 t="s">
        <v>106</v>
      </c>
      <c r="AJ11">
        <v>0</v>
      </c>
      <c r="AK11">
        <v>0</v>
      </c>
      <c r="AL11" t="s">
        <v>176</v>
      </c>
      <c r="AM11" s="11" t="s">
        <v>175</v>
      </c>
      <c r="AN11" t="s">
        <v>178</v>
      </c>
      <c r="AO11">
        <v>0</v>
      </c>
      <c r="AP11" s="2">
        <v>45699</v>
      </c>
      <c r="AQ11" t="s">
        <v>72</v>
      </c>
      <c r="AV11">
        <v>0</v>
      </c>
      <c r="AX11">
        <v>0</v>
      </c>
      <c r="AY11">
        <v>0</v>
      </c>
      <c r="AZ11">
        <v>205</v>
      </c>
      <c r="BA11" t="s">
        <v>97</v>
      </c>
    </row>
    <row r="12" spans="1:53" x14ac:dyDescent="0.2">
      <c r="A12">
        <v>2020</v>
      </c>
      <c r="B12" s="2">
        <v>44141</v>
      </c>
      <c r="C12" t="s">
        <v>179</v>
      </c>
      <c r="D12" s="2">
        <v>23602</v>
      </c>
      <c r="E12" s="1">
        <f t="shared" ca="1" si="0"/>
        <v>61.530555555555559</v>
      </c>
      <c r="F12" s="9">
        <v>19.91</v>
      </c>
      <c r="G12" t="s">
        <v>63</v>
      </c>
      <c r="H12" s="2" t="s">
        <v>64</v>
      </c>
      <c r="I12">
        <v>0</v>
      </c>
      <c r="J12">
        <v>0</v>
      </c>
      <c r="K12" s="2"/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 t="s">
        <v>42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 t="s">
        <v>144</v>
      </c>
      <c r="AJ12">
        <v>2</v>
      </c>
      <c r="AK12">
        <v>0</v>
      </c>
      <c r="AL12">
        <v>0</v>
      </c>
      <c r="AM12" t="s">
        <v>183</v>
      </c>
      <c r="AN12" t="s">
        <v>182</v>
      </c>
      <c r="AO12">
        <v>0</v>
      </c>
      <c r="AP12" s="2">
        <v>46056</v>
      </c>
      <c r="AQ12" t="s">
        <v>72</v>
      </c>
      <c r="AR12" t="s">
        <v>180</v>
      </c>
      <c r="AU12" t="s">
        <v>181</v>
      </c>
      <c r="AV12">
        <v>0</v>
      </c>
      <c r="AX12">
        <v>0</v>
      </c>
      <c r="AY12">
        <v>0</v>
      </c>
      <c r="AZ12">
        <v>330</v>
      </c>
      <c r="BA12" t="s">
        <v>97</v>
      </c>
    </row>
    <row r="13" spans="1:53" x14ac:dyDescent="0.2">
      <c r="A13">
        <v>2020</v>
      </c>
      <c r="B13" s="2">
        <v>44027</v>
      </c>
      <c r="C13" t="s">
        <v>152</v>
      </c>
      <c r="D13" s="2">
        <v>31680</v>
      </c>
      <c r="E13" s="1">
        <f t="shared" ca="1" si="0"/>
        <v>39.413888888888891</v>
      </c>
      <c r="F13" s="9">
        <v>22.87</v>
      </c>
      <c r="G13" t="s">
        <v>63</v>
      </c>
      <c r="H13" s="2" t="s">
        <v>90</v>
      </c>
      <c r="I13">
        <v>0</v>
      </c>
      <c r="J13">
        <v>0</v>
      </c>
      <c r="K13" s="2"/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42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 s="6">
        <v>1</v>
      </c>
      <c r="AF13">
        <v>1</v>
      </c>
      <c r="AG13">
        <v>1</v>
      </c>
      <c r="AH13">
        <v>0</v>
      </c>
      <c r="AI13" t="s">
        <v>106</v>
      </c>
      <c r="AJ13">
        <v>2</v>
      </c>
      <c r="AK13">
        <v>0</v>
      </c>
      <c r="AM13" s="11" t="s">
        <v>187</v>
      </c>
      <c r="AN13" s="11" t="s">
        <v>188</v>
      </c>
      <c r="AO13">
        <v>0</v>
      </c>
      <c r="AP13" s="2">
        <v>44775</v>
      </c>
      <c r="AQ13" t="s">
        <v>68</v>
      </c>
      <c r="AR13" t="s">
        <v>184</v>
      </c>
      <c r="AS13" t="s">
        <v>185</v>
      </c>
      <c r="AT13" t="s">
        <v>85</v>
      </c>
      <c r="AV13">
        <v>1</v>
      </c>
      <c r="AW13" t="s">
        <v>189</v>
      </c>
      <c r="AX13">
        <v>1</v>
      </c>
      <c r="AY13">
        <v>1</v>
      </c>
      <c r="AZ13">
        <v>300</v>
      </c>
      <c r="BA13" t="s">
        <v>186</v>
      </c>
    </row>
    <row r="14" spans="1:53" x14ac:dyDescent="0.2">
      <c r="A14">
        <v>2020</v>
      </c>
      <c r="B14" s="2">
        <v>44204</v>
      </c>
      <c r="C14" t="s">
        <v>190</v>
      </c>
      <c r="D14" s="2">
        <v>19447</v>
      </c>
      <c r="E14" s="1">
        <f t="shared" ca="1" si="0"/>
        <v>72.902777777777771</v>
      </c>
      <c r="F14" s="9">
        <v>19.13</v>
      </c>
      <c r="G14" t="s">
        <v>63</v>
      </c>
      <c r="H14" s="2" t="s">
        <v>64</v>
      </c>
      <c r="I14">
        <v>1</v>
      </c>
      <c r="J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 t="s">
        <v>42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 t="s">
        <v>65</v>
      </c>
      <c r="AJ14">
        <v>1</v>
      </c>
      <c r="AK14">
        <v>1</v>
      </c>
      <c r="AM14" s="11" t="s">
        <v>191</v>
      </c>
      <c r="AN14" t="s">
        <v>177</v>
      </c>
      <c r="AO14">
        <v>0</v>
      </c>
      <c r="AP14" s="2">
        <v>45915</v>
      </c>
      <c r="AQ14" t="s">
        <v>72</v>
      </c>
      <c r="AV14">
        <v>0</v>
      </c>
      <c r="AX14">
        <v>0</v>
      </c>
      <c r="AY14">
        <v>0</v>
      </c>
      <c r="AZ14">
        <v>250</v>
      </c>
      <c r="BA14" t="s">
        <v>97</v>
      </c>
    </row>
    <row r="15" spans="1:53" x14ac:dyDescent="0.2">
      <c r="A15">
        <v>2020</v>
      </c>
      <c r="B15" s="2">
        <v>44251</v>
      </c>
      <c r="C15" t="s">
        <v>192</v>
      </c>
      <c r="D15" s="2">
        <v>22058</v>
      </c>
      <c r="E15" s="1">
        <f t="shared" ca="1" si="0"/>
        <v>65.75555555555556</v>
      </c>
      <c r="F15" s="9">
        <v>21.48</v>
      </c>
      <c r="G15" t="s">
        <v>63</v>
      </c>
      <c r="H15" s="2" t="s">
        <v>64</v>
      </c>
      <c r="I15">
        <v>0</v>
      </c>
      <c r="J15">
        <v>0</v>
      </c>
      <c r="L15">
        <v>0</v>
      </c>
      <c r="M15">
        <v>0</v>
      </c>
      <c r="N15">
        <v>0</v>
      </c>
      <c r="O15" t="s">
        <v>118</v>
      </c>
      <c r="P15">
        <v>1</v>
      </c>
      <c r="Q15">
        <v>1</v>
      </c>
      <c r="R15">
        <v>0</v>
      </c>
      <c r="S15" t="s">
        <v>42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0</v>
      </c>
      <c r="AI15" t="s">
        <v>65</v>
      </c>
      <c r="AJ15">
        <v>0</v>
      </c>
      <c r="AK15">
        <v>0</v>
      </c>
      <c r="AM15" s="11" t="s">
        <v>194</v>
      </c>
      <c r="AN15" t="s">
        <v>193</v>
      </c>
      <c r="AO15">
        <v>0</v>
      </c>
      <c r="AP15" s="2">
        <v>45776</v>
      </c>
      <c r="AQ15" t="s">
        <v>72</v>
      </c>
      <c r="AR15" s="11" t="s">
        <v>195</v>
      </c>
      <c r="AV15">
        <v>1</v>
      </c>
      <c r="AW15" t="s">
        <v>196</v>
      </c>
      <c r="AX15">
        <v>1</v>
      </c>
      <c r="AY15">
        <v>1</v>
      </c>
      <c r="AZ15">
        <v>375</v>
      </c>
      <c r="BA15" t="s">
        <v>97</v>
      </c>
    </row>
    <row r="16" spans="1:53" x14ac:dyDescent="0.2">
      <c r="A16">
        <v>2020</v>
      </c>
      <c r="B16" s="2">
        <v>44321</v>
      </c>
      <c r="C16" t="s">
        <v>197</v>
      </c>
      <c r="D16" s="2">
        <v>24201</v>
      </c>
      <c r="E16" s="1">
        <f t="shared" ca="1" si="0"/>
        <v>59.888888888888886</v>
      </c>
      <c r="F16" s="9">
        <v>23.63</v>
      </c>
      <c r="G16" t="s">
        <v>63</v>
      </c>
      <c r="H16" s="2" t="s">
        <v>144</v>
      </c>
      <c r="I16">
        <v>0</v>
      </c>
      <c r="J16">
        <v>0</v>
      </c>
      <c r="L16" s="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 t="s">
        <v>42</v>
      </c>
      <c r="T16">
        <v>1</v>
      </c>
      <c r="U16">
        <v>0</v>
      </c>
      <c r="V16">
        <v>0</v>
      </c>
      <c r="W16">
        <v>0</v>
      </c>
      <c r="X16" s="6">
        <v>1</v>
      </c>
      <c r="Y16" s="6">
        <v>1</v>
      </c>
      <c r="Z16">
        <v>0</v>
      </c>
      <c r="AA16">
        <v>1</v>
      </c>
      <c r="AB16">
        <v>1</v>
      </c>
      <c r="AC16">
        <v>1</v>
      </c>
      <c r="AD16" t="s">
        <v>144</v>
      </c>
      <c r="AE16" t="s">
        <v>144</v>
      </c>
      <c r="AF16" t="s">
        <v>144</v>
      </c>
      <c r="AG16" t="s">
        <v>144</v>
      </c>
      <c r="AH16" t="s">
        <v>144</v>
      </c>
      <c r="AI16" s="24" t="s">
        <v>144</v>
      </c>
      <c r="AJ16">
        <v>2</v>
      </c>
      <c r="AK16">
        <v>0</v>
      </c>
      <c r="AL16" s="11" t="s">
        <v>144</v>
      </c>
      <c r="AM16" s="11" t="s">
        <v>144</v>
      </c>
      <c r="AN16" t="s">
        <v>144</v>
      </c>
      <c r="AO16">
        <v>0</v>
      </c>
      <c r="AP16" s="2">
        <v>45433</v>
      </c>
      <c r="AQ16" t="s">
        <v>72</v>
      </c>
      <c r="AV16">
        <v>1</v>
      </c>
      <c r="AW16" t="s">
        <v>198</v>
      </c>
      <c r="AX16">
        <v>0</v>
      </c>
      <c r="AY16">
        <v>0</v>
      </c>
      <c r="AZ16">
        <v>310</v>
      </c>
      <c r="BA16" t="s">
        <v>97</v>
      </c>
    </row>
    <row r="17" spans="1:53" x14ac:dyDescent="0.2">
      <c r="A17">
        <v>2021</v>
      </c>
      <c r="B17" s="2">
        <v>44335</v>
      </c>
      <c r="C17" t="s">
        <v>199</v>
      </c>
      <c r="D17" s="2">
        <v>30784</v>
      </c>
      <c r="E17" s="1">
        <f t="shared" ca="1" si="0"/>
        <v>41.866666666666667</v>
      </c>
      <c r="F17" s="9">
        <v>23.65</v>
      </c>
      <c r="G17" t="s">
        <v>63</v>
      </c>
      <c r="H17" s="2" t="s">
        <v>64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t="s">
        <v>42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 t="s">
        <v>120</v>
      </c>
      <c r="AJ17">
        <v>2</v>
      </c>
      <c r="AK17">
        <v>1</v>
      </c>
      <c r="AL17" s="11" t="s">
        <v>203</v>
      </c>
      <c r="AM17" s="11" t="s">
        <v>202</v>
      </c>
      <c r="AN17" s="11" t="s">
        <v>201</v>
      </c>
      <c r="AO17">
        <v>0</v>
      </c>
      <c r="AP17" s="2">
        <v>45965</v>
      </c>
      <c r="AQ17" t="s">
        <v>68</v>
      </c>
      <c r="AR17" t="s">
        <v>200</v>
      </c>
      <c r="AS17" t="s">
        <v>205</v>
      </c>
      <c r="AV17">
        <v>1</v>
      </c>
      <c r="AW17" t="s">
        <v>204</v>
      </c>
      <c r="AX17">
        <v>1</v>
      </c>
      <c r="AY17">
        <v>1</v>
      </c>
      <c r="AZ17">
        <v>450</v>
      </c>
      <c r="BA17" t="s">
        <v>97</v>
      </c>
    </row>
    <row r="18" spans="1:53" x14ac:dyDescent="0.2">
      <c r="A18">
        <v>2017</v>
      </c>
      <c r="B18" s="2" t="s">
        <v>24</v>
      </c>
      <c r="C18" t="s">
        <v>208</v>
      </c>
      <c r="D18" s="2">
        <v>24041</v>
      </c>
      <c r="E18" s="1">
        <f t="shared" ca="1" si="0"/>
        <v>60.327777777777776</v>
      </c>
      <c r="F18" s="9">
        <v>21.3</v>
      </c>
      <c r="G18" t="s">
        <v>63</v>
      </c>
      <c r="H18" s="2" t="s">
        <v>64</v>
      </c>
      <c r="I18">
        <v>0</v>
      </c>
      <c r="J18">
        <v>0</v>
      </c>
      <c r="L18">
        <v>0</v>
      </c>
      <c r="M18">
        <v>0</v>
      </c>
      <c r="N18">
        <v>1</v>
      </c>
      <c r="O18" t="s">
        <v>118</v>
      </c>
      <c r="P18">
        <v>1</v>
      </c>
      <c r="Q18">
        <v>1</v>
      </c>
      <c r="R18">
        <v>0</v>
      </c>
      <c r="S18" t="s">
        <v>42</v>
      </c>
      <c r="T18">
        <v>0</v>
      </c>
      <c r="U18">
        <v>1</v>
      </c>
      <c r="V18" t="s">
        <v>102</v>
      </c>
      <c r="W18" t="s">
        <v>102</v>
      </c>
      <c r="X18">
        <v>1</v>
      </c>
      <c r="Y18" s="6">
        <v>1</v>
      </c>
      <c r="Z18" t="s">
        <v>209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1</v>
      </c>
      <c r="AJ18">
        <v>2</v>
      </c>
      <c r="AK18">
        <v>1</v>
      </c>
      <c r="AL18" s="6" t="s">
        <v>206</v>
      </c>
      <c r="AM18" s="12" t="s">
        <v>210</v>
      </c>
      <c r="AO18">
        <v>0</v>
      </c>
      <c r="AP18" s="2">
        <v>45000</v>
      </c>
      <c r="AQ18" t="s">
        <v>68</v>
      </c>
      <c r="AR18" t="s">
        <v>207</v>
      </c>
      <c r="AS18" t="s">
        <v>196</v>
      </c>
      <c r="AV18">
        <v>1</v>
      </c>
      <c r="AW18" t="s">
        <v>211</v>
      </c>
      <c r="AX18">
        <v>0</v>
      </c>
      <c r="AY18">
        <v>0</v>
      </c>
      <c r="AZ18">
        <v>190</v>
      </c>
      <c r="BA18" t="s">
        <v>97</v>
      </c>
    </row>
    <row r="19" spans="1:53" x14ac:dyDescent="0.2">
      <c r="A19">
        <v>2021</v>
      </c>
      <c r="B19" s="2">
        <v>44512</v>
      </c>
      <c r="C19" t="s">
        <v>213</v>
      </c>
      <c r="D19" s="2">
        <v>27390</v>
      </c>
      <c r="E19" s="1">
        <f t="shared" ca="1" si="0"/>
        <v>51.158333333333331</v>
      </c>
      <c r="F19" s="9">
        <v>21.7</v>
      </c>
      <c r="G19" t="s">
        <v>63</v>
      </c>
      <c r="H19" s="2" t="s">
        <v>64</v>
      </c>
      <c r="I19">
        <v>0</v>
      </c>
      <c r="J19">
        <v>0</v>
      </c>
      <c r="L19">
        <v>0</v>
      </c>
      <c r="M19">
        <v>0</v>
      </c>
      <c r="N19">
        <v>1</v>
      </c>
      <c r="O19" t="s">
        <v>118</v>
      </c>
      <c r="P19">
        <v>1</v>
      </c>
      <c r="Q19">
        <v>1</v>
      </c>
      <c r="R19">
        <v>0</v>
      </c>
      <c r="S19" t="s">
        <v>42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 t="s">
        <v>65</v>
      </c>
      <c r="AJ19">
        <v>1</v>
      </c>
      <c r="AK19">
        <v>1</v>
      </c>
      <c r="AL19" s="11" t="s">
        <v>215</v>
      </c>
      <c r="AN19" t="s">
        <v>216</v>
      </c>
      <c r="AO19">
        <v>0</v>
      </c>
      <c r="AP19" s="2">
        <v>46055</v>
      </c>
      <c r="AQ19" t="s">
        <v>72</v>
      </c>
      <c r="AV19">
        <v>1</v>
      </c>
      <c r="AW19" t="s">
        <v>214</v>
      </c>
      <c r="AX19">
        <v>1</v>
      </c>
      <c r="AY19">
        <v>1</v>
      </c>
      <c r="AZ19">
        <v>405</v>
      </c>
      <c r="BA19" t="s">
        <v>97</v>
      </c>
    </row>
    <row r="20" spans="1:53" x14ac:dyDescent="0.2">
      <c r="A20">
        <v>2021</v>
      </c>
      <c r="B20" s="2">
        <v>44610</v>
      </c>
      <c r="C20" t="s">
        <v>138</v>
      </c>
      <c r="D20" s="2">
        <v>23082</v>
      </c>
      <c r="E20" s="1">
        <f t="shared" ca="1" si="0"/>
        <v>62.95</v>
      </c>
      <c r="F20" s="9">
        <v>25.34</v>
      </c>
      <c r="G20" t="s">
        <v>63</v>
      </c>
      <c r="H20" s="2" t="s">
        <v>64</v>
      </c>
      <c r="I20">
        <v>0</v>
      </c>
      <c r="J20">
        <v>0</v>
      </c>
      <c r="L20" t="s">
        <v>217</v>
      </c>
      <c r="M20">
        <v>0</v>
      </c>
      <c r="N20">
        <v>1</v>
      </c>
      <c r="O20" t="s">
        <v>118</v>
      </c>
      <c r="P20">
        <v>0</v>
      </c>
      <c r="Q20">
        <v>1</v>
      </c>
      <c r="R20">
        <v>0</v>
      </c>
      <c r="S20" t="s">
        <v>42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0</v>
      </c>
      <c r="AI20" t="s">
        <v>65</v>
      </c>
      <c r="AJ20">
        <v>0</v>
      </c>
      <c r="AK20">
        <v>0</v>
      </c>
      <c r="AM20" s="11" t="s">
        <v>218</v>
      </c>
      <c r="AN20" t="s">
        <v>193</v>
      </c>
      <c r="AO20">
        <v>0</v>
      </c>
      <c r="AP20" s="2">
        <v>45495</v>
      </c>
      <c r="AQ20" t="s">
        <v>72</v>
      </c>
      <c r="AV20">
        <v>0</v>
      </c>
      <c r="AX20">
        <v>0</v>
      </c>
      <c r="AY20">
        <v>0</v>
      </c>
      <c r="AZ20">
        <v>485</v>
      </c>
      <c r="BA20" t="s">
        <v>97</v>
      </c>
    </row>
    <row r="21" spans="1:53" x14ac:dyDescent="0.2">
      <c r="A21" t="s">
        <v>311</v>
      </c>
      <c r="B21" s="2">
        <v>44617</v>
      </c>
      <c r="C21" t="s">
        <v>308</v>
      </c>
      <c r="D21" s="2">
        <v>23630</v>
      </c>
      <c r="E21" s="1">
        <f t="shared" ca="1" si="0"/>
        <v>61.455555555555556</v>
      </c>
      <c r="F21" s="9">
        <v>24.41</v>
      </c>
      <c r="G21" t="s">
        <v>63</v>
      </c>
      <c r="H21" s="2" t="s">
        <v>64</v>
      </c>
      <c r="I21">
        <v>0</v>
      </c>
      <c r="J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 t="s">
        <v>42</v>
      </c>
      <c r="T21">
        <v>1</v>
      </c>
      <c r="U21">
        <v>0</v>
      </c>
      <c r="V21">
        <v>0</v>
      </c>
      <c r="W21">
        <v>0</v>
      </c>
      <c r="X21" t="s">
        <v>310</v>
      </c>
      <c r="Y21">
        <v>0</v>
      </c>
      <c r="Z21">
        <v>0</v>
      </c>
      <c r="AA21" t="s">
        <v>310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 t="s">
        <v>313</v>
      </c>
      <c r="AJ21">
        <v>2</v>
      </c>
      <c r="AK21">
        <v>2</v>
      </c>
      <c r="AM21" s="11" t="s">
        <v>312</v>
      </c>
      <c r="AN21" t="s">
        <v>307</v>
      </c>
      <c r="AO21">
        <v>0</v>
      </c>
      <c r="AP21" s="2">
        <v>45601</v>
      </c>
      <c r="AQ21" t="s">
        <v>68</v>
      </c>
      <c r="AR21" t="s">
        <v>85</v>
      </c>
      <c r="AV21">
        <v>1</v>
      </c>
      <c r="AW21" t="s">
        <v>309</v>
      </c>
      <c r="AX21">
        <v>1</v>
      </c>
      <c r="AY21">
        <v>1</v>
      </c>
      <c r="AZ21">
        <v>405</v>
      </c>
      <c r="BA21" t="s">
        <v>97</v>
      </c>
    </row>
    <row r="22" spans="1:53" x14ac:dyDescent="0.2">
      <c r="A22">
        <v>2021</v>
      </c>
      <c r="B22" s="2">
        <v>44673</v>
      </c>
      <c r="C22" t="s">
        <v>315</v>
      </c>
      <c r="D22" s="2">
        <v>21495</v>
      </c>
      <c r="E22" s="1">
        <f t="shared" ca="1" si="0"/>
        <v>67.3</v>
      </c>
      <c r="F22" s="9">
        <v>32.81</v>
      </c>
      <c r="G22" t="s">
        <v>63</v>
      </c>
      <c r="H22" s="2" t="s">
        <v>90</v>
      </c>
      <c r="I22">
        <v>1</v>
      </c>
      <c r="J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 t="s">
        <v>42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314</v>
      </c>
      <c r="AC22">
        <v>1</v>
      </c>
      <c r="AD22">
        <v>1</v>
      </c>
      <c r="AE22">
        <v>0</v>
      </c>
      <c r="AF22">
        <v>1</v>
      </c>
      <c r="AG22">
        <v>1</v>
      </c>
      <c r="AH22" t="s">
        <v>144</v>
      </c>
      <c r="AI22" t="s">
        <v>318</v>
      </c>
      <c r="AJ22">
        <v>0</v>
      </c>
      <c r="AK22">
        <v>0</v>
      </c>
      <c r="AL22">
        <v>0</v>
      </c>
      <c r="AM22" s="12" t="s">
        <v>80</v>
      </c>
      <c r="AN22" t="s">
        <v>146</v>
      </c>
      <c r="AO22">
        <v>0</v>
      </c>
      <c r="AP22" s="2">
        <v>45923</v>
      </c>
      <c r="AQ22" t="s">
        <v>68</v>
      </c>
      <c r="AR22" t="s">
        <v>316</v>
      </c>
      <c r="AU22" t="s">
        <v>317</v>
      </c>
      <c r="AV22">
        <v>0</v>
      </c>
      <c r="AX22">
        <v>0</v>
      </c>
      <c r="AY22">
        <v>0</v>
      </c>
      <c r="AZ22">
        <v>445</v>
      </c>
      <c r="BA22" t="s">
        <v>97</v>
      </c>
    </row>
    <row r="23" spans="1:53" s="30" customFormat="1" x14ac:dyDescent="0.2">
      <c r="A23" s="30">
        <v>2022</v>
      </c>
      <c r="B23" s="34">
        <v>44687</v>
      </c>
      <c r="C23" s="30" t="s">
        <v>326</v>
      </c>
      <c r="D23" s="34">
        <v>28307</v>
      </c>
      <c r="E23" s="30">
        <f t="shared" ca="1" si="0"/>
        <v>48.647222222222226</v>
      </c>
      <c r="F23" s="35">
        <v>23.81</v>
      </c>
      <c r="G23" s="30" t="s">
        <v>63</v>
      </c>
      <c r="H23" s="30" t="s">
        <v>64</v>
      </c>
      <c r="I23" s="30">
        <v>0</v>
      </c>
      <c r="J23" s="30">
        <v>0</v>
      </c>
      <c r="L23" s="30">
        <v>0</v>
      </c>
      <c r="M23" s="30">
        <v>0</v>
      </c>
      <c r="N23" s="30">
        <v>1</v>
      </c>
      <c r="O23" s="30">
        <v>0</v>
      </c>
      <c r="P23" s="30">
        <v>0</v>
      </c>
      <c r="Q23" s="30">
        <v>1</v>
      </c>
      <c r="R23" s="30">
        <v>0</v>
      </c>
      <c r="S23" s="30" t="s">
        <v>42</v>
      </c>
      <c r="T23" s="30">
        <v>1</v>
      </c>
      <c r="U23" s="30">
        <v>0</v>
      </c>
      <c r="V23" s="30">
        <v>0</v>
      </c>
      <c r="W23" s="30">
        <v>0</v>
      </c>
      <c r="X23" s="30">
        <v>0</v>
      </c>
      <c r="Y23" s="30" t="s">
        <v>322</v>
      </c>
      <c r="Z23" s="30" t="s">
        <v>321</v>
      </c>
      <c r="AA23" s="30" t="s">
        <v>322</v>
      </c>
      <c r="AB23" s="30">
        <v>1</v>
      </c>
      <c r="AC23" s="30">
        <v>1</v>
      </c>
      <c r="AD23" s="30">
        <v>1</v>
      </c>
      <c r="AE23" s="30">
        <v>0</v>
      </c>
      <c r="AF23" s="30">
        <v>1</v>
      </c>
      <c r="AG23" s="30">
        <v>1</v>
      </c>
      <c r="AH23" s="30">
        <v>0</v>
      </c>
      <c r="AI23" s="30" t="s">
        <v>65</v>
      </c>
      <c r="AJ23" s="30">
        <v>2</v>
      </c>
      <c r="AK23" s="30">
        <v>0</v>
      </c>
      <c r="AL23" s="30" t="s">
        <v>325</v>
      </c>
      <c r="AM23" s="30" t="s">
        <v>324</v>
      </c>
      <c r="AN23" s="30" t="s">
        <v>320</v>
      </c>
      <c r="AO23" s="30">
        <v>0</v>
      </c>
      <c r="AP23" s="34">
        <v>45811</v>
      </c>
      <c r="AQ23" s="30" t="s">
        <v>68</v>
      </c>
      <c r="AR23" s="30" t="s">
        <v>319</v>
      </c>
      <c r="AU23" s="30" t="s">
        <v>323</v>
      </c>
      <c r="AV23" s="30">
        <v>1</v>
      </c>
      <c r="AW23" s="30" t="s">
        <v>174</v>
      </c>
      <c r="AX23" s="30">
        <v>1</v>
      </c>
      <c r="AY23" s="30">
        <v>1</v>
      </c>
      <c r="AZ23" s="30">
        <v>405</v>
      </c>
      <c r="BA23" s="30" t="s">
        <v>97</v>
      </c>
    </row>
    <row r="24" spans="1:53" x14ac:dyDescent="0.2">
      <c r="A24" s="30">
        <v>2022</v>
      </c>
      <c r="B24" s="2">
        <v>44755</v>
      </c>
      <c r="C24" s="30" t="s">
        <v>327</v>
      </c>
      <c r="D24" s="2">
        <v>33124</v>
      </c>
      <c r="E24" s="1">
        <f t="shared" ca="1" si="0"/>
        <v>35.461111111111109</v>
      </c>
      <c r="F24" s="9">
        <v>21.47</v>
      </c>
      <c r="G24" s="30" t="s">
        <v>63</v>
      </c>
      <c r="H24" s="2" t="s">
        <v>64</v>
      </c>
      <c r="I24" s="30">
        <v>0</v>
      </c>
      <c r="J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1</v>
      </c>
      <c r="Q24" s="6">
        <v>1</v>
      </c>
      <c r="R24" s="6">
        <v>0</v>
      </c>
      <c r="S24" s="30" t="s">
        <v>42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>
        <v>0</v>
      </c>
      <c r="Z24" s="30">
        <v>0</v>
      </c>
      <c r="AA24" s="30">
        <v>0</v>
      </c>
      <c r="AB24" s="30" t="s">
        <v>335</v>
      </c>
      <c r="AC24" s="30">
        <v>1</v>
      </c>
      <c r="AD24" s="30">
        <v>1</v>
      </c>
      <c r="AE24" s="30">
        <v>0</v>
      </c>
      <c r="AF24" s="30">
        <v>1</v>
      </c>
      <c r="AG24" s="30">
        <v>1</v>
      </c>
      <c r="AH24" s="30">
        <v>0</v>
      </c>
      <c r="AI24" s="30" t="s">
        <v>106</v>
      </c>
      <c r="AJ24" s="30">
        <v>2</v>
      </c>
      <c r="AK24" s="30">
        <v>1</v>
      </c>
      <c r="AM24" s="11" t="s">
        <v>329</v>
      </c>
      <c r="AN24" s="30" t="s">
        <v>330</v>
      </c>
      <c r="AO24" s="30">
        <v>0</v>
      </c>
      <c r="AP24" s="2">
        <v>45909</v>
      </c>
      <c r="AQ24" s="30" t="s">
        <v>72</v>
      </c>
      <c r="AR24" s="30" t="s">
        <v>328</v>
      </c>
      <c r="AU24">
        <v>0</v>
      </c>
      <c r="AV24" s="30">
        <v>0</v>
      </c>
      <c r="AX24" s="30">
        <v>0</v>
      </c>
      <c r="AY24" s="30">
        <v>0</v>
      </c>
      <c r="AZ24" s="30">
        <v>335</v>
      </c>
      <c r="BA24" s="30" t="s">
        <v>97</v>
      </c>
    </row>
    <row r="25" spans="1:53" x14ac:dyDescent="0.2">
      <c r="A25" s="30">
        <v>2022</v>
      </c>
      <c r="B25" s="2">
        <v>44861</v>
      </c>
      <c r="C25" s="30" t="s">
        <v>332</v>
      </c>
      <c r="D25" s="2">
        <v>27575</v>
      </c>
      <c r="E25" s="1">
        <f t="shared" ca="1" si="0"/>
        <v>50.65</v>
      </c>
      <c r="F25" s="9">
        <v>26.04</v>
      </c>
      <c r="G25" s="30" t="s">
        <v>63</v>
      </c>
      <c r="H25" s="2" t="s">
        <v>90</v>
      </c>
      <c r="I25" s="30">
        <v>0</v>
      </c>
      <c r="J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1</v>
      </c>
      <c r="Q25" s="30">
        <v>1</v>
      </c>
      <c r="R25" s="30">
        <v>0</v>
      </c>
      <c r="S25" s="30" t="s">
        <v>305</v>
      </c>
      <c r="T25" s="30">
        <v>0</v>
      </c>
      <c r="U25" s="30">
        <v>1</v>
      </c>
      <c r="V25" s="30">
        <v>0</v>
      </c>
      <c r="W25" s="30">
        <v>1</v>
      </c>
      <c r="X25" s="30">
        <v>1</v>
      </c>
      <c r="Y25">
        <v>0</v>
      </c>
      <c r="AA25" t="s">
        <v>331</v>
      </c>
      <c r="AB25" s="30">
        <v>1</v>
      </c>
      <c r="AC25" s="30">
        <v>1</v>
      </c>
      <c r="AD25" s="30">
        <v>1</v>
      </c>
      <c r="AE25" s="30">
        <v>1</v>
      </c>
      <c r="AF25" s="30">
        <v>1</v>
      </c>
      <c r="AG25" s="30">
        <v>1</v>
      </c>
      <c r="AH25" s="30">
        <v>0</v>
      </c>
      <c r="AI25" s="30" t="s">
        <v>120</v>
      </c>
      <c r="AJ25" s="30">
        <v>1</v>
      </c>
      <c r="AK25" s="30">
        <v>1</v>
      </c>
      <c r="AM25" s="11" t="s">
        <v>334</v>
      </c>
      <c r="AN25" s="11" t="s">
        <v>336</v>
      </c>
      <c r="AO25" s="30">
        <v>0</v>
      </c>
      <c r="AP25" s="2">
        <v>45547</v>
      </c>
      <c r="AQ25" s="30" t="s">
        <v>72</v>
      </c>
      <c r="AU25">
        <v>0</v>
      </c>
      <c r="AV25" s="30">
        <v>1</v>
      </c>
      <c r="AW25" t="s">
        <v>333</v>
      </c>
      <c r="AX25" s="30">
        <v>0</v>
      </c>
      <c r="AY25" s="30">
        <v>0</v>
      </c>
      <c r="AZ25" s="30">
        <v>605</v>
      </c>
      <c r="BA25" s="30" t="s">
        <v>97</v>
      </c>
    </row>
    <row r="26" spans="1:53" x14ac:dyDescent="0.2">
      <c r="A26" s="30">
        <v>2022</v>
      </c>
      <c r="B26" s="2">
        <v>44885</v>
      </c>
      <c r="C26" t="s">
        <v>343</v>
      </c>
      <c r="D26" s="2">
        <v>29846</v>
      </c>
      <c r="E26" s="1">
        <f t="shared" ca="1" si="0"/>
        <v>44.43611111111111</v>
      </c>
      <c r="F26" s="9">
        <v>27.44</v>
      </c>
      <c r="G26" s="30" t="s">
        <v>63</v>
      </c>
      <c r="H26" s="2" t="s">
        <v>103</v>
      </c>
      <c r="I26" s="30">
        <v>0</v>
      </c>
      <c r="J26" s="30">
        <v>0</v>
      </c>
      <c r="L26" s="30">
        <v>0</v>
      </c>
      <c r="M26" s="30">
        <v>0</v>
      </c>
      <c r="N26" s="30">
        <v>1</v>
      </c>
      <c r="O26" s="30">
        <v>0</v>
      </c>
      <c r="P26" s="30">
        <v>0</v>
      </c>
      <c r="Q26" s="30">
        <v>1</v>
      </c>
      <c r="R26" s="30">
        <v>0</v>
      </c>
      <c r="S26" s="30" t="s">
        <v>42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>
        <v>1</v>
      </c>
      <c r="Z26" t="s">
        <v>338</v>
      </c>
      <c r="AA26">
        <v>0</v>
      </c>
      <c r="AB26" s="30">
        <v>0</v>
      </c>
      <c r="AC26" s="30">
        <v>1</v>
      </c>
      <c r="AD26" s="30">
        <v>1</v>
      </c>
      <c r="AE26" s="30">
        <v>0</v>
      </c>
      <c r="AF26" s="30">
        <v>0</v>
      </c>
      <c r="AG26" s="30">
        <v>0</v>
      </c>
      <c r="AH26" s="30">
        <v>1</v>
      </c>
      <c r="AI26" s="30" t="s">
        <v>65</v>
      </c>
      <c r="AJ26" s="30">
        <v>0</v>
      </c>
      <c r="AK26" s="30">
        <v>0</v>
      </c>
      <c r="AL26" t="s">
        <v>339</v>
      </c>
      <c r="AM26" s="11" t="s">
        <v>341</v>
      </c>
      <c r="AN26" s="30" t="s">
        <v>340</v>
      </c>
      <c r="AO26" s="30">
        <v>0</v>
      </c>
      <c r="AP26" s="2">
        <v>45139</v>
      </c>
      <c r="AQ26" s="30" t="s">
        <v>68</v>
      </c>
      <c r="AR26" t="s">
        <v>337</v>
      </c>
      <c r="AU26">
        <v>1</v>
      </c>
      <c r="AV26" s="30">
        <v>1</v>
      </c>
      <c r="AW26" t="s">
        <v>342</v>
      </c>
      <c r="AX26" s="30">
        <v>1</v>
      </c>
      <c r="AY26" s="30">
        <v>0</v>
      </c>
      <c r="AZ26" s="30">
        <v>605</v>
      </c>
      <c r="BA26" s="30" t="s">
        <v>97</v>
      </c>
    </row>
    <row r="27" spans="1:53" x14ac:dyDescent="0.2">
      <c r="A27" s="30" t="s">
        <v>144</v>
      </c>
      <c r="B27" s="2">
        <v>44939</v>
      </c>
      <c r="C27" t="s">
        <v>345</v>
      </c>
      <c r="D27" s="2">
        <v>25396</v>
      </c>
      <c r="E27" s="1">
        <f t="shared" ca="1" si="0"/>
        <v>56.616666666666667</v>
      </c>
      <c r="F27" s="9">
        <v>42.51</v>
      </c>
      <c r="G27" s="30" t="s">
        <v>63</v>
      </c>
      <c r="H27" s="2" t="s">
        <v>64</v>
      </c>
      <c r="I27" s="30">
        <v>1</v>
      </c>
      <c r="J27" s="30">
        <v>0</v>
      </c>
      <c r="L27" s="30">
        <v>0</v>
      </c>
      <c r="M27" s="30">
        <v>0</v>
      </c>
      <c r="N27" s="30">
        <v>1</v>
      </c>
      <c r="O27" s="30">
        <v>1</v>
      </c>
      <c r="P27" s="30">
        <v>1</v>
      </c>
      <c r="Q27" s="30">
        <v>1</v>
      </c>
      <c r="R27" s="30">
        <v>0</v>
      </c>
      <c r="S27" s="30" t="s">
        <v>42</v>
      </c>
      <c r="T27" s="30">
        <v>0</v>
      </c>
      <c r="U27" s="30">
        <v>1</v>
      </c>
      <c r="V27" s="30">
        <v>1</v>
      </c>
      <c r="W27" s="30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s="30">
        <v>1</v>
      </c>
      <c r="AD27" s="30" t="s">
        <v>144</v>
      </c>
      <c r="AE27" s="30" t="s">
        <v>144</v>
      </c>
      <c r="AF27" s="30" t="s">
        <v>144</v>
      </c>
      <c r="AG27" s="30" t="s">
        <v>144</v>
      </c>
      <c r="AH27" s="30" t="s">
        <v>144</v>
      </c>
      <c r="AI27" s="30" t="s">
        <v>144</v>
      </c>
      <c r="AJ27" s="30">
        <v>2</v>
      </c>
      <c r="AK27" s="24" t="s">
        <v>144</v>
      </c>
      <c r="AL27" s="24" t="s">
        <v>144</v>
      </c>
      <c r="AM27" s="24" t="s">
        <v>144</v>
      </c>
      <c r="AN27" s="24" t="s">
        <v>144</v>
      </c>
      <c r="AO27" s="30">
        <v>0</v>
      </c>
      <c r="AP27" s="2">
        <v>45257</v>
      </c>
      <c r="AQ27" s="30" t="s">
        <v>68</v>
      </c>
      <c r="AR27" t="s">
        <v>344</v>
      </c>
      <c r="AU27">
        <v>0</v>
      </c>
      <c r="AV27" s="30">
        <v>1</v>
      </c>
      <c r="AW27" t="s">
        <v>342</v>
      </c>
      <c r="AX27" s="30">
        <v>1</v>
      </c>
      <c r="AY27" s="30" t="s">
        <v>346</v>
      </c>
      <c r="AZ27" s="30">
        <v>770</v>
      </c>
      <c r="BA27" s="30" t="s">
        <v>97</v>
      </c>
    </row>
    <row r="28" spans="1:53" s="13" customFormat="1" x14ac:dyDescent="0.2">
      <c r="A28" s="36"/>
      <c r="B28" s="14">
        <v>44945</v>
      </c>
      <c r="C28" s="13" t="s">
        <v>32</v>
      </c>
      <c r="D28" s="14">
        <v>28498</v>
      </c>
      <c r="F28" s="25">
        <v>25.39</v>
      </c>
      <c r="G28" s="36" t="s">
        <v>63</v>
      </c>
      <c r="H28" s="14" t="s">
        <v>64</v>
      </c>
      <c r="T28" s="36">
        <v>1</v>
      </c>
      <c r="U28" s="36">
        <v>0</v>
      </c>
      <c r="V28" s="36">
        <v>0</v>
      </c>
      <c r="W28" s="36">
        <v>0</v>
      </c>
      <c r="X28" s="36">
        <v>0</v>
      </c>
      <c r="Y28" s="13">
        <v>0</v>
      </c>
      <c r="Z28" s="13">
        <v>0</v>
      </c>
      <c r="AA28" s="13">
        <v>0</v>
      </c>
      <c r="AB28" s="13">
        <v>0</v>
      </c>
      <c r="AC28" s="36">
        <v>1</v>
      </c>
      <c r="AD28" s="36" t="s">
        <v>144</v>
      </c>
      <c r="AE28" s="36" t="s">
        <v>144</v>
      </c>
      <c r="AF28" s="36" t="s">
        <v>144</v>
      </c>
      <c r="AG28" s="36" t="s">
        <v>144</v>
      </c>
      <c r="AH28" s="36" t="s">
        <v>144</v>
      </c>
      <c r="AI28" s="36" t="s">
        <v>144</v>
      </c>
      <c r="AJ28" s="36">
        <v>2</v>
      </c>
      <c r="AK28" s="36" t="s">
        <v>144</v>
      </c>
      <c r="AQ28" s="36" t="s">
        <v>68</v>
      </c>
      <c r="AR28" s="13" t="s">
        <v>347</v>
      </c>
    </row>
    <row r="29" spans="1:53" x14ac:dyDescent="0.2">
      <c r="A29" s="30">
        <v>2022</v>
      </c>
      <c r="B29" s="2">
        <v>44967</v>
      </c>
      <c r="C29" t="s">
        <v>138</v>
      </c>
      <c r="D29" s="2">
        <v>27261</v>
      </c>
      <c r="F29" s="9">
        <v>25.22</v>
      </c>
      <c r="G29" s="30" t="s">
        <v>63</v>
      </c>
      <c r="H29" s="2" t="s">
        <v>90</v>
      </c>
      <c r="I29" s="30">
        <v>0</v>
      </c>
      <c r="J29" s="30">
        <v>0</v>
      </c>
      <c r="L29" s="30">
        <v>0</v>
      </c>
      <c r="M29" s="30">
        <v>0</v>
      </c>
      <c r="N29" s="30">
        <v>1</v>
      </c>
      <c r="O29" s="30">
        <v>0</v>
      </c>
      <c r="P29" s="30">
        <v>0</v>
      </c>
      <c r="Q29" s="30">
        <v>1</v>
      </c>
      <c r="R29" s="30">
        <v>0</v>
      </c>
      <c r="S29" s="30" t="s">
        <v>42</v>
      </c>
      <c r="T29" s="30">
        <v>0</v>
      </c>
      <c r="U29" s="30">
        <v>1</v>
      </c>
      <c r="V29" s="30">
        <v>1</v>
      </c>
      <c r="W29" s="30">
        <v>0</v>
      </c>
      <c r="X29">
        <v>0</v>
      </c>
      <c r="Y29">
        <v>1</v>
      </c>
      <c r="Z29" s="11" t="s">
        <v>348</v>
      </c>
      <c r="AA29">
        <v>1</v>
      </c>
      <c r="AB29" t="s">
        <v>335</v>
      </c>
      <c r="AC29" s="30">
        <v>1</v>
      </c>
      <c r="AD29" s="30">
        <v>1</v>
      </c>
      <c r="AE29" t="s">
        <v>350</v>
      </c>
      <c r="AF29" s="30">
        <v>1</v>
      </c>
      <c r="AG29" s="30">
        <v>1</v>
      </c>
      <c r="AH29" s="30">
        <v>0</v>
      </c>
      <c r="AI29" s="30" t="s">
        <v>106</v>
      </c>
      <c r="AJ29" s="30">
        <v>0</v>
      </c>
      <c r="AK29" s="30">
        <v>0</v>
      </c>
      <c r="AL29" t="s">
        <v>168</v>
      </c>
      <c r="AM29" s="11" t="s">
        <v>351</v>
      </c>
      <c r="AN29" s="11" t="s">
        <v>352</v>
      </c>
      <c r="AO29" s="30">
        <v>0</v>
      </c>
      <c r="AP29" s="2">
        <v>45034</v>
      </c>
      <c r="AQ29" s="30" t="s">
        <v>68</v>
      </c>
      <c r="AR29" t="s">
        <v>235</v>
      </c>
      <c r="AV29" s="30">
        <v>0</v>
      </c>
      <c r="AX29" s="30">
        <v>0</v>
      </c>
      <c r="AY29" s="30">
        <v>0</v>
      </c>
      <c r="AZ29" s="30">
        <v>140</v>
      </c>
      <c r="BA29" s="30" t="s">
        <v>97</v>
      </c>
    </row>
    <row r="30" spans="1:53" x14ac:dyDescent="0.2">
      <c r="A30" s="30">
        <v>2022</v>
      </c>
      <c r="B30" s="2">
        <v>45000</v>
      </c>
      <c r="C30" t="s">
        <v>117</v>
      </c>
      <c r="D30" s="2">
        <v>25835</v>
      </c>
      <c r="F30" s="9">
        <v>37.770000000000003</v>
      </c>
      <c r="G30" s="30" t="s">
        <v>63</v>
      </c>
      <c r="H30" s="2" t="s">
        <v>64</v>
      </c>
      <c r="I30" s="30">
        <v>1</v>
      </c>
      <c r="L30" s="30">
        <v>1</v>
      </c>
      <c r="M30" s="30">
        <v>0</v>
      </c>
      <c r="N30" s="30">
        <v>1</v>
      </c>
      <c r="O30" s="30">
        <v>0</v>
      </c>
      <c r="P30" t="s">
        <v>226</v>
      </c>
      <c r="Q30" s="30">
        <v>1</v>
      </c>
      <c r="R30" s="30">
        <v>0</v>
      </c>
      <c r="S30" s="30" t="s">
        <v>42</v>
      </c>
      <c r="T30" s="30">
        <v>1</v>
      </c>
      <c r="U30" s="30">
        <v>0</v>
      </c>
      <c r="V30" s="30">
        <v>0</v>
      </c>
      <c r="W30" s="30">
        <v>0</v>
      </c>
      <c r="X30" s="30">
        <v>1</v>
      </c>
      <c r="Y30" s="30" t="s">
        <v>354</v>
      </c>
      <c r="Z30" t="s">
        <v>353</v>
      </c>
      <c r="AA30">
        <v>0</v>
      </c>
      <c r="AB30">
        <v>0</v>
      </c>
      <c r="AC30" s="30">
        <v>1</v>
      </c>
      <c r="AD30" s="30">
        <v>1</v>
      </c>
      <c r="AE30" s="30">
        <v>0</v>
      </c>
      <c r="AF30" s="30">
        <v>0</v>
      </c>
      <c r="AG30" s="30">
        <v>0</v>
      </c>
      <c r="AH30" s="30">
        <v>1</v>
      </c>
      <c r="AI30" s="30" t="s">
        <v>106</v>
      </c>
      <c r="AJ30" s="30">
        <v>2</v>
      </c>
      <c r="AK30" s="30">
        <v>1</v>
      </c>
      <c r="AM30" s="11" t="s">
        <v>355</v>
      </c>
      <c r="AN30" t="s">
        <v>356</v>
      </c>
      <c r="AO30" s="30">
        <v>0</v>
      </c>
      <c r="AP30" s="2">
        <v>45915</v>
      </c>
      <c r="AQ30" s="30" t="s">
        <v>72</v>
      </c>
      <c r="AV30" s="30">
        <v>0</v>
      </c>
      <c r="AX30" s="30">
        <v>0</v>
      </c>
      <c r="AY30" s="30">
        <v>0</v>
      </c>
      <c r="AZ30" s="30">
        <v>440</v>
      </c>
      <c r="BA30" s="30" t="s">
        <v>97</v>
      </c>
    </row>
    <row r="31" spans="1:53" x14ac:dyDescent="0.2">
      <c r="A31" s="30" t="s">
        <v>144</v>
      </c>
      <c r="B31" s="2">
        <v>44981</v>
      </c>
      <c r="C31" t="s">
        <v>357</v>
      </c>
      <c r="D31" s="2">
        <v>33292</v>
      </c>
      <c r="F31" s="9">
        <v>41.63</v>
      </c>
      <c r="G31" s="30" t="s">
        <v>63</v>
      </c>
      <c r="H31" s="2" t="s">
        <v>64</v>
      </c>
      <c r="I31" s="30">
        <v>1</v>
      </c>
      <c r="J31">
        <v>0</v>
      </c>
      <c r="L31" s="30">
        <v>0</v>
      </c>
      <c r="M31" s="30">
        <v>0</v>
      </c>
      <c r="N31" s="30">
        <v>1</v>
      </c>
      <c r="O31" s="30">
        <v>1</v>
      </c>
      <c r="P31" s="30">
        <v>1</v>
      </c>
      <c r="Q31" s="30">
        <v>1</v>
      </c>
      <c r="R31" s="30">
        <v>0</v>
      </c>
      <c r="S31" s="30" t="s">
        <v>42</v>
      </c>
      <c r="T31" s="30">
        <v>0</v>
      </c>
      <c r="U31" s="30">
        <v>1</v>
      </c>
      <c r="V31" s="30">
        <v>0</v>
      </c>
      <c r="W31" t="s">
        <v>358</v>
      </c>
      <c r="X31">
        <v>0</v>
      </c>
      <c r="Y31">
        <v>0</v>
      </c>
      <c r="Z31">
        <v>0</v>
      </c>
      <c r="AA31">
        <v>0</v>
      </c>
      <c r="AB31">
        <v>0</v>
      </c>
      <c r="AC31" s="30">
        <v>1</v>
      </c>
      <c r="AD31" s="30">
        <v>0</v>
      </c>
      <c r="AE31" s="30">
        <v>0</v>
      </c>
      <c r="AF31" s="30" t="s">
        <v>144</v>
      </c>
      <c r="AG31" s="30" t="s">
        <v>144</v>
      </c>
      <c r="AH31" s="30" t="s">
        <v>144</v>
      </c>
      <c r="AI31" s="30" t="s">
        <v>144</v>
      </c>
      <c r="AJ31" s="30">
        <v>2</v>
      </c>
      <c r="AK31" s="30">
        <v>0</v>
      </c>
      <c r="AL31" s="30" t="s">
        <v>144</v>
      </c>
      <c r="AM31" s="24" t="s">
        <v>144</v>
      </c>
      <c r="AN31" s="24" t="s">
        <v>144</v>
      </c>
      <c r="AO31" s="30">
        <v>0</v>
      </c>
      <c r="AP31" s="2">
        <v>45951</v>
      </c>
      <c r="AQ31" s="30" t="s">
        <v>68</v>
      </c>
      <c r="AR31" t="s">
        <v>359</v>
      </c>
      <c r="AS31" t="s">
        <v>360</v>
      </c>
      <c r="AV31" s="30">
        <v>1</v>
      </c>
      <c r="AW31" t="s">
        <v>361</v>
      </c>
      <c r="AX31" s="30">
        <v>0</v>
      </c>
      <c r="AY31" s="30">
        <v>0</v>
      </c>
      <c r="AZ31" s="30">
        <v>750</v>
      </c>
      <c r="BA31" s="30" t="s">
        <v>97</v>
      </c>
    </row>
    <row r="32" spans="1:53" s="30" customFormat="1" x14ac:dyDescent="0.2">
      <c r="A32" s="30">
        <v>2022</v>
      </c>
      <c r="B32" s="34">
        <v>45021</v>
      </c>
      <c r="C32" s="30" t="s">
        <v>365</v>
      </c>
      <c r="D32" s="34">
        <v>25948</v>
      </c>
      <c r="F32" s="35">
        <v>20.77</v>
      </c>
      <c r="G32" s="30" t="s">
        <v>63</v>
      </c>
      <c r="H32" s="34" t="s">
        <v>64</v>
      </c>
      <c r="I32" s="30">
        <v>0</v>
      </c>
      <c r="J32" s="30">
        <v>0</v>
      </c>
      <c r="L32" s="30">
        <v>0</v>
      </c>
      <c r="M32" s="30">
        <v>0</v>
      </c>
      <c r="N32" s="30">
        <v>1</v>
      </c>
      <c r="O32" s="30">
        <v>0</v>
      </c>
      <c r="P32" s="30">
        <v>0</v>
      </c>
      <c r="Q32" s="30">
        <v>1</v>
      </c>
      <c r="R32" s="30">
        <v>0</v>
      </c>
      <c r="S32" s="30" t="s">
        <v>42</v>
      </c>
      <c r="T32" s="30">
        <v>1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 t="s">
        <v>335</v>
      </c>
      <c r="AC32" s="30">
        <v>1</v>
      </c>
      <c r="AD32" s="30">
        <v>1</v>
      </c>
      <c r="AE32" s="30">
        <v>0</v>
      </c>
      <c r="AF32" s="30">
        <v>1</v>
      </c>
      <c r="AG32" s="30">
        <v>1</v>
      </c>
      <c r="AH32" s="30">
        <v>0</v>
      </c>
      <c r="AI32" s="30" t="s">
        <v>65</v>
      </c>
      <c r="AJ32" s="30">
        <v>1</v>
      </c>
      <c r="AK32" s="30">
        <v>1</v>
      </c>
      <c r="AM32" s="11" t="s">
        <v>363</v>
      </c>
      <c r="AN32" s="30" t="s">
        <v>364</v>
      </c>
      <c r="AO32" s="30">
        <v>0</v>
      </c>
      <c r="AP32" s="34">
        <v>45979</v>
      </c>
      <c r="AQ32" s="30" t="s">
        <v>68</v>
      </c>
      <c r="AR32" s="30" t="s">
        <v>362</v>
      </c>
      <c r="AV32" s="30">
        <v>0</v>
      </c>
      <c r="AX32" s="30">
        <v>0</v>
      </c>
      <c r="AY32" s="30">
        <v>0</v>
      </c>
      <c r="AZ32" s="30">
        <v>280</v>
      </c>
      <c r="BA32" s="30" t="s">
        <v>97</v>
      </c>
    </row>
    <row r="33" spans="1:53" x14ac:dyDescent="0.2">
      <c r="A33" s="30">
        <v>2022</v>
      </c>
      <c r="B33" s="2">
        <v>45014</v>
      </c>
      <c r="C33" s="30" t="s">
        <v>367</v>
      </c>
      <c r="D33" s="2">
        <v>27966</v>
      </c>
      <c r="F33" s="9">
        <v>28.89</v>
      </c>
      <c r="G33" s="30" t="s">
        <v>63</v>
      </c>
      <c r="H33" s="34" t="s">
        <v>366</v>
      </c>
      <c r="I33" s="30">
        <v>0</v>
      </c>
      <c r="J33" s="30">
        <v>0</v>
      </c>
      <c r="L33" s="30">
        <v>0</v>
      </c>
      <c r="M33" s="30">
        <v>0</v>
      </c>
      <c r="N33" s="30">
        <v>1</v>
      </c>
      <c r="O33" s="30">
        <v>0</v>
      </c>
      <c r="P33" s="30">
        <v>0</v>
      </c>
      <c r="Q33" s="30">
        <v>1</v>
      </c>
      <c r="R33" s="30">
        <v>0</v>
      </c>
      <c r="S33" s="30" t="s">
        <v>42</v>
      </c>
      <c r="T33" s="30">
        <v>1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t="s">
        <v>368</v>
      </c>
      <c r="AC33" s="30">
        <v>1</v>
      </c>
      <c r="AD33" s="30">
        <v>1</v>
      </c>
      <c r="AE33" s="30">
        <v>0</v>
      </c>
      <c r="AF33" s="30">
        <v>1</v>
      </c>
      <c r="AG33" s="30">
        <v>1</v>
      </c>
      <c r="AH33" s="30">
        <v>0</v>
      </c>
      <c r="AI33" s="30" t="s">
        <v>106</v>
      </c>
      <c r="AJ33" s="30">
        <v>2</v>
      </c>
      <c r="AK33" s="30">
        <v>0</v>
      </c>
      <c r="AN33" t="s">
        <v>371</v>
      </c>
      <c r="AO33" s="30">
        <v>0</v>
      </c>
      <c r="AP33" s="2">
        <v>45775</v>
      </c>
      <c r="AQ33" s="30" t="s">
        <v>68</v>
      </c>
      <c r="AR33" s="30" t="s">
        <v>370</v>
      </c>
      <c r="AS33" s="30" t="s">
        <v>377</v>
      </c>
      <c r="AV33" s="30">
        <v>1</v>
      </c>
      <c r="AW33" t="s">
        <v>369</v>
      </c>
      <c r="AX33" s="30">
        <v>1</v>
      </c>
      <c r="AY33" s="30">
        <v>1</v>
      </c>
      <c r="AZ33" s="30">
        <v>560</v>
      </c>
      <c r="BA33" s="30" t="s">
        <v>97</v>
      </c>
    </row>
    <row r="34" spans="1:53" x14ac:dyDescent="0.2">
      <c r="A34" s="30">
        <v>2023</v>
      </c>
      <c r="B34" s="2">
        <v>45049</v>
      </c>
      <c r="C34" t="s">
        <v>373</v>
      </c>
      <c r="D34" s="2">
        <v>27765</v>
      </c>
      <c r="F34" s="9">
        <v>20.78</v>
      </c>
      <c r="G34" s="30" t="s">
        <v>63</v>
      </c>
      <c r="H34" s="34" t="s">
        <v>64</v>
      </c>
      <c r="I34" s="30">
        <v>0</v>
      </c>
      <c r="J34" s="30">
        <v>0</v>
      </c>
      <c r="L34" s="30">
        <v>0</v>
      </c>
      <c r="M34" s="30">
        <v>0</v>
      </c>
      <c r="N34">
        <v>0</v>
      </c>
      <c r="O34" s="30" t="s">
        <v>118</v>
      </c>
      <c r="P34" s="30">
        <v>0</v>
      </c>
      <c r="Q34" s="30">
        <v>0</v>
      </c>
      <c r="R34" s="30">
        <v>1</v>
      </c>
      <c r="S34" s="30" t="s">
        <v>42</v>
      </c>
      <c r="T34" s="30">
        <v>1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t="s">
        <v>368</v>
      </c>
      <c r="AC34" s="30">
        <v>1</v>
      </c>
      <c r="AD34" s="30">
        <v>1</v>
      </c>
      <c r="AE34" s="30" t="s">
        <v>376</v>
      </c>
      <c r="AF34" s="30">
        <v>1</v>
      </c>
      <c r="AG34" s="30">
        <v>1</v>
      </c>
      <c r="AH34" s="30">
        <v>0</v>
      </c>
      <c r="AI34" s="30" t="s">
        <v>65</v>
      </c>
      <c r="AJ34" s="30">
        <v>1</v>
      </c>
      <c r="AK34" s="30">
        <v>1</v>
      </c>
      <c r="AL34" t="s">
        <v>133</v>
      </c>
      <c r="AM34" s="11" t="s">
        <v>374</v>
      </c>
      <c r="AN34" t="s">
        <v>340</v>
      </c>
      <c r="AO34" s="30">
        <v>0</v>
      </c>
      <c r="AP34" s="2">
        <v>45719</v>
      </c>
      <c r="AQ34" s="30" t="s">
        <v>68</v>
      </c>
      <c r="AR34" s="30" t="s">
        <v>370</v>
      </c>
      <c r="AS34" s="30" t="s">
        <v>375</v>
      </c>
      <c r="AV34" s="30">
        <v>1</v>
      </c>
      <c r="AW34" s="11" t="s">
        <v>372</v>
      </c>
      <c r="AX34" s="30">
        <v>1</v>
      </c>
      <c r="AY34" s="30">
        <v>1</v>
      </c>
      <c r="AZ34" s="30">
        <v>365</v>
      </c>
      <c r="BA34" s="30" t="s">
        <v>97</v>
      </c>
    </row>
    <row r="35" spans="1:53" x14ac:dyDescent="0.2">
      <c r="A35" s="30">
        <v>2023</v>
      </c>
      <c r="B35" s="2">
        <v>45105</v>
      </c>
      <c r="C35" t="s">
        <v>383</v>
      </c>
      <c r="D35" s="2">
        <v>34739</v>
      </c>
      <c r="F35" s="9">
        <v>35.78</v>
      </c>
      <c r="G35" s="30" t="s">
        <v>63</v>
      </c>
      <c r="H35" s="34" t="s">
        <v>90</v>
      </c>
      <c r="I35" s="30">
        <v>1</v>
      </c>
      <c r="J35" s="30">
        <v>1</v>
      </c>
      <c r="L35" s="30">
        <v>1</v>
      </c>
      <c r="M35" s="30">
        <v>0</v>
      </c>
      <c r="N35" s="30">
        <v>1</v>
      </c>
      <c r="O35" s="30">
        <v>0</v>
      </c>
      <c r="P35" t="s">
        <v>378</v>
      </c>
      <c r="Q35" s="30">
        <v>1</v>
      </c>
      <c r="R35" s="30">
        <v>0</v>
      </c>
      <c r="S35" s="30" t="s">
        <v>42</v>
      </c>
      <c r="T35" s="30">
        <v>1</v>
      </c>
      <c r="U35" s="30">
        <v>0</v>
      </c>
      <c r="V35" s="30">
        <v>0</v>
      </c>
      <c r="W35" s="30">
        <v>0</v>
      </c>
      <c r="X35" t="s">
        <v>382</v>
      </c>
      <c r="Y35" t="s">
        <v>380</v>
      </c>
      <c r="Z35" s="30">
        <v>0</v>
      </c>
      <c r="AA35">
        <v>1</v>
      </c>
      <c r="AB35">
        <v>1</v>
      </c>
      <c r="AC35" s="30">
        <v>1</v>
      </c>
      <c r="AD35" s="30">
        <v>1</v>
      </c>
      <c r="AE35" s="30">
        <v>1</v>
      </c>
      <c r="AF35" s="30">
        <v>0</v>
      </c>
      <c r="AG35" s="30">
        <v>0</v>
      </c>
      <c r="AH35" s="30">
        <v>0</v>
      </c>
      <c r="AI35" s="30" t="s">
        <v>65</v>
      </c>
      <c r="AJ35" s="30">
        <v>2</v>
      </c>
      <c r="AK35" s="30">
        <v>2</v>
      </c>
      <c r="AM35" s="11" t="s">
        <v>379</v>
      </c>
      <c r="AN35" t="s">
        <v>381</v>
      </c>
      <c r="AO35" s="30">
        <v>0</v>
      </c>
      <c r="AP35" s="2">
        <v>46063</v>
      </c>
      <c r="AQ35" s="30" t="s">
        <v>68</v>
      </c>
      <c r="AR35" s="30" t="s">
        <v>385</v>
      </c>
      <c r="AS35" s="30" t="s">
        <v>384</v>
      </c>
      <c r="AU35">
        <v>0</v>
      </c>
      <c r="AV35" s="30">
        <v>0</v>
      </c>
      <c r="AX35" s="30">
        <v>0</v>
      </c>
      <c r="AY35" s="30">
        <v>0</v>
      </c>
      <c r="AZ35" s="30">
        <v>360</v>
      </c>
      <c r="BA35" s="30" t="s">
        <v>97</v>
      </c>
    </row>
    <row r="36" spans="1:53" x14ac:dyDescent="0.2">
      <c r="A36" s="30">
        <v>2023</v>
      </c>
      <c r="B36" s="2">
        <v>45078</v>
      </c>
      <c r="C36" t="s">
        <v>386</v>
      </c>
      <c r="D36" s="2">
        <v>23642</v>
      </c>
      <c r="F36" s="9">
        <v>22.07</v>
      </c>
      <c r="G36" s="30" t="s">
        <v>63</v>
      </c>
      <c r="H36" s="34" t="s">
        <v>64</v>
      </c>
      <c r="I36" s="30">
        <v>0</v>
      </c>
      <c r="J36" s="30">
        <v>0</v>
      </c>
      <c r="L36" s="30">
        <v>0</v>
      </c>
      <c r="M36" s="30">
        <v>0</v>
      </c>
      <c r="N36" s="30">
        <v>1</v>
      </c>
      <c r="O36" t="s">
        <v>118</v>
      </c>
      <c r="P36">
        <v>1</v>
      </c>
      <c r="Q36" s="30">
        <v>1</v>
      </c>
      <c r="R36" s="30">
        <v>0</v>
      </c>
      <c r="S36" s="30" t="s">
        <v>42</v>
      </c>
      <c r="T36" s="30">
        <v>1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>
        <v>0</v>
      </c>
      <c r="AB36">
        <v>1</v>
      </c>
      <c r="AC36" s="30">
        <v>1</v>
      </c>
      <c r="AD36" s="30">
        <v>1</v>
      </c>
      <c r="AE36" s="30">
        <v>0</v>
      </c>
      <c r="AF36" s="30">
        <v>1</v>
      </c>
      <c r="AG36" s="30">
        <v>1</v>
      </c>
      <c r="AH36" s="30">
        <v>0</v>
      </c>
      <c r="AI36" s="30" t="s">
        <v>65</v>
      </c>
      <c r="AJ36" s="30">
        <v>0</v>
      </c>
      <c r="AK36" s="30">
        <v>0</v>
      </c>
      <c r="AM36" s="11" t="s">
        <v>387</v>
      </c>
      <c r="AN36" t="s">
        <v>193</v>
      </c>
      <c r="AO36" s="30">
        <v>0</v>
      </c>
      <c r="AP36" s="2">
        <v>45761</v>
      </c>
      <c r="AQ36" s="30" t="s">
        <v>72</v>
      </c>
      <c r="AU36">
        <v>0</v>
      </c>
      <c r="AV36" s="30">
        <v>0</v>
      </c>
      <c r="AX36" s="30">
        <v>0</v>
      </c>
      <c r="AY36" s="30">
        <v>0</v>
      </c>
      <c r="AZ36" s="30">
        <v>140</v>
      </c>
      <c r="BA36" s="30" t="s">
        <v>97</v>
      </c>
    </row>
    <row r="37" spans="1:53" s="30" customFormat="1" x14ac:dyDescent="0.2">
      <c r="A37" s="30" t="s">
        <v>144</v>
      </c>
      <c r="B37" s="34">
        <v>45182</v>
      </c>
      <c r="C37" s="30" t="s">
        <v>388</v>
      </c>
      <c r="D37" s="34">
        <v>27865</v>
      </c>
      <c r="F37" s="35">
        <v>31.93</v>
      </c>
      <c r="G37" s="30" t="s">
        <v>63</v>
      </c>
      <c r="H37" s="30" t="s">
        <v>64</v>
      </c>
      <c r="I37" s="30">
        <v>1</v>
      </c>
      <c r="J37" s="30">
        <v>0</v>
      </c>
      <c r="L37" s="30">
        <v>1</v>
      </c>
      <c r="M37" s="30">
        <v>0</v>
      </c>
      <c r="N37" s="30">
        <v>1</v>
      </c>
      <c r="O37" s="30">
        <v>1</v>
      </c>
      <c r="P37" s="30">
        <v>1</v>
      </c>
      <c r="Q37" s="30">
        <v>1</v>
      </c>
      <c r="R37" s="30">
        <v>0</v>
      </c>
      <c r="S37" s="30" t="s">
        <v>42</v>
      </c>
      <c r="T37" s="30">
        <v>0</v>
      </c>
      <c r="U37" s="30">
        <v>1</v>
      </c>
      <c r="V37" s="30">
        <v>0</v>
      </c>
      <c r="W37" s="30" t="s">
        <v>358</v>
      </c>
      <c r="X37" s="30" t="s">
        <v>144</v>
      </c>
      <c r="Y37" s="30" t="s">
        <v>144</v>
      </c>
      <c r="Z37" s="30" t="s">
        <v>144</v>
      </c>
      <c r="AA37" s="30" t="s">
        <v>144</v>
      </c>
      <c r="AB37" s="30" t="s">
        <v>144</v>
      </c>
      <c r="AC37" s="30">
        <v>1</v>
      </c>
      <c r="AD37" s="30" t="s">
        <v>144</v>
      </c>
      <c r="AE37" s="30" t="s">
        <v>144</v>
      </c>
      <c r="AF37" s="30" t="s">
        <v>144</v>
      </c>
      <c r="AG37" s="30" t="s">
        <v>144</v>
      </c>
      <c r="AH37" s="30" t="s">
        <v>144</v>
      </c>
      <c r="AI37" s="30" t="s">
        <v>144</v>
      </c>
      <c r="AJ37" s="30">
        <v>2</v>
      </c>
      <c r="AK37" s="30" t="s">
        <v>144</v>
      </c>
      <c r="AL37" s="30" t="s">
        <v>144</v>
      </c>
      <c r="AM37" s="30" t="s">
        <v>144</v>
      </c>
      <c r="AN37" s="30" t="s">
        <v>144</v>
      </c>
      <c r="AO37" s="30">
        <v>0</v>
      </c>
      <c r="AP37" s="34">
        <v>45740</v>
      </c>
      <c r="AQ37" s="30" t="s">
        <v>68</v>
      </c>
      <c r="AR37" s="30" t="s">
        <v>389</v>
      </c>
      <c r="AS37" s="30" t="s">
        <v>390</v>
      </c>
      <c r="AT37" s="30" t="s">
        <v>392</v>
      </c>
      <c r="AU37" s="30">
        <v>1</v>
      </c>
      <c r="AV37" s="30">
        <v>1</v>
      </c>
      <c r="AW37" s="30" t="s">
        <v>391</v>
      </c>
      <c r="AX37" s="30">
        <v>1</v>
      </c>
      <c r="AY37" s="30" t="s">
        <v>393</v>
      </c>
      <c r="AZ37" s="30">
        <v>685</v>
      </c>
      <c r="BA37" s="30" t="s">
        <v>97</v>
      </c>
    </row>
    <row r="38" spans="1:53" x14ac:dyDescent="0.2">
      <c r="A38" s="30">
        <v>2023</v>
      </c>
      <c r="B38" s="2">
        <v>45121</v>
      </c>
      <c r="C38" s="30" t="s">
        <v>365</v>
      </c>
      <c r="D38" s="2">
        <v>29824</v>
      </c>
      <c r="F38" s="9">
        <v>34</v>
      </c>
      <c r="G38" s="30" t="s">
        <v>63</v>
      </c>
      <c r="H38" s="34" t="s">
        <v>64</v>
      </c>
      <c r="I38" s="30">
        <v>1</v>
      </c>
      <c r="J38" s="30">
        <v>0</v>
      </c>
      <c r="L38" s="30">
        <v>0</v>
      </c>
      <c r="M38" s="30">
        <v>0</v>
      </c>
      <c r="N38" s="30">
        <v>1</v>
      </c>
      <c r="O38" t="s">
        <v>118</v>
      </c>
      <c r="P38" t="s">
        <v>256</v>
      </c>
      <c r="Q38" s="30">
        <v>1</v>
      </c>
      <c r="R38" s="30">
        <v>0</v>
      </c>
      <c r="S38" s="30" t="s">
        <v>305</v>
      </c>
      <c r="T38" s="30">
        <v>0</v>
      </c>
      <c r="U38" s="30">
        <v>1</v>
      </c>
      <c r="X38" s="30">
        <v>0</v>
      </c>
      <c r="Y38" s="30">
        <v>1</v>
      </c>
      <c r="Z38" s="30">
        <v>0</v>
      </c>
      <c r="AA38" s="30">
        <v>1</v>
      </c>
      <c r="AB38" s="30" t="s">
        <v>397</v>
      </c>
      <c r="AC38" s="30">
        <v>1</v>
      </c>
      <c r="AD38" s="30">
        <v>1</v>
      </c>
      <c r="AE38" s="30">
        <v>0</v>
      </c>
      <c r="AF38" s="30">
        <v>1</v>
      </c>
      <c r="AG38" s="30">
        <v>1</v>
      </c>
      <c r="AH38" s="30">
        <v>0</v>
      </c>
      <c r="AI38" s="30" t="s">
        <v>65</v>
      </c>
      <c r="AJ38" s="30">
        <v>1</v>
      </c>
      <c r="AK38" s="30">
        <v>1</v>
      </c>
      <c r="AL38" s="11" t="s">
        <v>176</v>
      </c>
      <c r="AM38" s="11" t="s">
        <v>394</v>
      </c>
      <c r="AN38" s="30" t="s">
        <v>395</v>
      </c>
      <c r="AO38" s="30">
        <v>0</v>
      </c>
      <c r="AP38" s="2">
        <v>45141</v>
      </c>
      <c r="AQ38" s="30" t="s">
        <v>72</v>
      </c>
      <c r="AR38" s="30" t="s">
        <v>396</v>
      </c>
      <c r="AU38" s="30">
        <v>0</v>
      </c>
      <c r="AV38" s="30">
        <v>0</v>
      </c>
      <c r="AX38" s="30">
        <v>0</v>
      </c>
      <c r="AY38">
        <v>0</v>
      </c>
      <c r="AZ38" s="30">
        <v>490</v>
      </c>
      <c r="BA38" s="30" t="s">
        <v>97</v>
      </c>
    </row>
    <row r="39" spans="1:53" x14ac:dyDescent="0.2">
      <c r="A39" s="30">
        <v>2023</v>
      </c>
      <c r="B39" s="2">
        <v>45177</v>
      </c>
      <c r="C39" s="30" t="s">
        <v>152</v>
      </c>
      <c r="D39" s="2">
        <v>32196</v>
      </c>
      <c r="F39" s="9">
        <v>24.37</v>
      </c>
      <c r="G39" s="30" t="s">
        <v>63</v>
      </c>
      <c r="H39" s="34" t="s">
        <v>398</v>
      </c>
      <c r="I39" s="30">
        <v>0</v>
      </c>
      <c r="J39" s="30">
        <v>0</v>
      </c>
      <c r="L39" s="30">
        <v>0</v>
      </c>
      <c r="M39" s="30">
        <v>0</v>
      </c>
      <c r="N39" s="30">
        <v>1</v>
      </c>
      <c r="O39" s="30">
        <v>0</v>
      </c>
      <c r="P39" s="30">
        <v>0</v>
      </c>
      <c r="Q39" s="30">
        <v>1</v>
      </c>
      <c r="R39" s="30">
        <v>0</v>
      </c>
      <c r="S39" s="30" t="s">
        <v>42</v>
      </c>
      <c r="T39" s="30">
        <v>1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  <c r="Z39" s="30">
        <v>0</v>
      </c>
      <c r="AA39" s="30">
        <v>0</v>
      </c>
      <c r="AB39" s="30" t="s">
        <v>400</v>
      </c>
      <c r="AC39" s="30">
        <v>1</v>
      </c>
      <c r="AD39" s="30">
        <v>1</v>
      </c>
      <c r="AE39" s="30">
        <v>0</v>
      </c>
      <c r="AF39" s="30">
        <v>1</v>
      </c>
      <c r="AG39" s="30">
        <v>1</v>
      </c>
      <c r="AH39" s="30">
        <v>0</v>
      </c>
      <c r="AI39" s="30" t="s">
        <v>65</v>
      </c>
      <c r="AJ39" s="30">
        <v>2</v>
      </c>
      <c r="AK39" s="30">
        <v>0</v>
      </c>
      <c r="AM39" s="11" t="s">
        <v>349</v>
      </c>
      <c r="AN39" s="30" t="s">
        <v>399</v>
      </c>
      <c r="AO39" s="30">
        <v>0</v>
      </c>
      <c r="AP39" s="2">
        <v>45770</v>
      </c>
      <c r="AQ39" s="30" t="s">
        <v>68</v>
      </c>
      <c r="AR39" s="30" t="s">
        <v>401</v>
      </c>
      <c r="AU39" s="30">
        <v>1</v>
      </c>
      <c r="AV39" s="30">
        <v>0</v>
      </c>
      <c r="AW39" t="s">
        <v>402</v>
      </c>
      <c r="AX39" s="30">
        <v>0</v>
      </c>
      <c r="AY39">
        <v>0</v>
      </c>
      <c r="AZ39" s="30">
        <v>415</v>
      </c>
      <c r="BA39" s="30" t="s">
        <v>97</v>
      </c>
    </row>
    <row r="40" spans="1:53" x14ac:dyDescent="0.2">
      <c r="A40" s="30">
        <v>2023</v>
      </c>
      <c r="B40" s="2">
        <v>45184</v>
      </c>
      <c r="C40" s="30" t="s">
        <v>386</v>
      </c>
      <c r="D40" s="2">
        <v>23433</v>
      </c>
      <c r="F40" s="9">
        <v>19.920000000000002</v>
      </c>
      <c r="G40" s="30" t="s">
        <v>63</v>
      </c>
      <c r="H40" s="34" t="s">
        <v>398</v>
      </c>
      <c r="I40" s="30">
        <v>0</v>
      </c>
      <c r="J40" s="30">
        <v>0</v>
      </c>
      <c r="L40" s="30">
        <v>0</v>
      </c>
      <c r="M40" s="30">
        <v>0</v>
      </c>
      <c r="N40" s="30">
        <v>1</v>
      </c>
      <c r="O40" s="30">
        <v>0</v>
      </c>
      <c r="P40" s="30">
        <v>1</v>
      </c>
      <c r="Q40" s="30">
        <v>1</v>
      </c>
      <c r="R40" s="30">
        <v>0</v>
      </c>
      <c r="S40" s="30" t="s">
        <v>42</v>
      </c>
      <c r="T40" s="30">
        <v>1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 t="s">
        <v>335</v>
      </c>
      <c r="AC40" s="30">
        <v>1</v>
      </c>
      <c r="AD40" s="30">
        <v>1</v>
      </c>
      <c r="AE40" t="s">
        <v>404</v>
      </c>
      <c r="AF40" s="30">
        <v>1</v>
      </c>
      <c r="AG40" s="30">
        <v>1</v>
      </c>
      <c r="AH40" s="30">
        <v>0</v>
      </c>
      <c r="AI40" s="30" t="s">
        <v>65</v>
      </c>
      <c r="AJ40" s="30">
        <v>0</v>
      </c>
      <c r="AK40" s="30">
        <v>0</v>
      </c>
      <c r="AM40" s="11" t="s">
        <v>122</v>
      </c>
      <c r="AN40" s="30" t="s">
        <v>403</v>
      </c>
      <c r="AO40" s="30">
        <v>0</v>
      </c>
      <c r="AP40" s="2">
        <v>45881</v>
      </c>
      <c r="AQ40" s="30" t="s">
        <v>72</v>
      </c>
      <c r="AU40" s="30">
        <v>0</v>
      </c>
      <c r="AV40" s="30">
        <v>0</v>
      </c>
      <c r="AX40" s="30">
        <v>0</v>
      </c>
      <c r="AY40" s="30">
        <v>0</v>
      </c>
      <c r="AZ40" s="30">
        <v>210</v>
      </c>
      <c r="BA40" s="30" t="s">
        <v>97</v>
      </c>
    </row>
    <row r="41" spans="1:53" s="30" customFormat="1" x14ac:dyDescent="0.2">
      <c r="A41" s="30">
        <v>2023</v>
      </c>
      <c r="B41" s="34">
        <v>45163</v>
      </c>
      <c r="C41" s="30" t="s">
        <v>117</v>
      </c>
      <c r="D41" s="34">
        <v>30364</v>
      </c>
      <c r="F41" s="35">
        <v>25.91</v>
      </c>
      <c r="G41" s="30" t="s">
        <v>63</v>
      </c>
      <c r="H41" s="30" t="s">
        <v>64</v>
      </c>
      <c r="I41" s="30">
        <v>0</v>
      </c>
      <c r="J41" s="30">
        <v>0</v>
      </c>
      <c r="L41" s="30">
        <v>0</v>
      </c>
      <c r="M41" s="30">
        <v>0</v>
      </c>
      <c r="N41" s="30">
        <v>0</v>
      </c>
      <c r="O41" s="30" t="s">
        <v>118</v>
      </c>
      <c r="P41" s="30">
        <v>1</v>
      </c>
      <c r="Q41" s="30" t="s">
        <v>102</v>
      </c>
      <c r="R41" s="30" t="s">
        <v>102</v>
      </c>
      <c r="S41" s="30" t="s">
        <v>42</v>
      </c>
      <c r="T41" s="30">
        <v>1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 t="s">
        <v>335</v>
      </c>
      <c r="AC41" s="30">
        <v>1</v>
      </c>
      <c r="AD41" s="30">
        <v>1</v>
      </c>
      <c r="AE41" s="30" t="s">
        <v>404</v>
      </c>
      <c r="AF41" s="30">
        <v>1</v>
      </c>
      <c r="AG41" s="30">
        <v>1</v>
      </c>
      <c r="AH41" s="30">
        <v>0</v>
      </c>
      <c r="AI41" s="30" t="s">
        <v>120</v>
      </c>
      <c r="AJ41" s="30">
        <v>2</v>
      </c>
      <c r="AK41" s="30">
        <v>1</v>
      </c>
      <c r="AM41" s="11" t="s">
        <v>408</v>
      </c>
      <c r="AN41" s="11" t="s">
        <v>407</v>
      </c>
      <c r="AO41" s="30">
        <v>0</v>
      </c>
      <c r="AP41" s="34">
        <v>45867</v>
      </c>
      <c r="AQ41" s="30" t="s">
        <v>68</v>
      </c>
      <c r="AR41" s="30" t="s">
        <v>405</v>
      </c>
      <c r="AS41" s="30" t="s">
        <v>282</v>
      </c>
      <c r="AU41" s="30">
        <v>0</v>
      </c>
      <c r="AV41" s="30">
        <v>1</v>
      </c>
      <c r="AW41" s="30" t="s">
        <v>406</v>
      </c>
      <c r="AX41" s="30">
        <v>1</v>
      </c>
      <c r="AY41" s="30">
        <v>1</v>
      </c>
      <c r="AZ41" s="30">
        <v>345</v>
      </c>
      <c r="BA41" s="30" t="s">
        <v>97</v>
      </c>
    </row>
    <row r="42" spans="1:53" x14ac:dyDescent="0.2">
      <c r="A42" s="30">
        <v>2023</v>
      </c>
      <c r="B42" s="2">
        <v>45191</v>
      </c>
      <c r="C42" s="30" t="s">
        <v>414</v>
      </c>
      <c r="D42" s="2">
        <v>26729</v>
      </c>
      <c r="F42" s="9">
        <v>27.81</v>
      </c>
      <c r="G42" s="30" t="s">
        <v>63</v>
      </c>
      <c r="H42" s="34" t="s">
        <v>90</v>
      </c>
      <c r="I42" s="30">
        <v>0</v>
      </c>
      <c r="J42" s="30">
        <v>0</v>
      </c>
      <c r="L42" s="30">
        <v>0</v>
      </c>
      <c r="M42" s="30">
        <v>0</v>
      </c>
      <c r="N42" s="30">
        <v>1</v>
      </c>
      <c r="O42" s="30">
        <v>0</v>
      </c>
      <c r="P42" s="30">
        <v>1</v>
      </c>
      <c r="Q42" s="30">
        <v>1</v>
      </c>
      <c r="R42" s="30">
        <v>0</v>
      </c>
      <c r="S42" s="30" t="s">
        <v>42</v>
      </c>
      <c r="T42" s="30">
        <v>0</v>
      </c>
      <c r="U42" s="30">
        <v>1</v>
      </c>
      <c r="V42" s="30">
        <v>0</v>
      </c>
      <c r="W42" s="30" t="s">
        <v>358</v>
      </c>
      <c r="X42" s="30">
        <v>1</v>
      </c>
      <c r="Y42" s="30">
        <v>0</v>
      </c>
      <c r="Z42" s="30">
        <v>0</v>
      </c>
      <c r="AA42" s="30">
        <v>0</v>
      </c>
      <c r="AB42" s="30" t="s">
        <v>335</v>
      </c>
      <c r="AC42" s="30">
        <v>1</v>
      </c>
      <c r="AD42" s="30">
        <v>1</v>
      </c>
      <c r="AE42" t="s">
        <v>404</v>
      </c>
      <c r="AF42" s="30">
        <v>1</v>
      </c>
      <c r="AG42" s="30">
        <v>1</v>
      </c>
      <c r="AH42" s="30">
        <v>0</v>
      </c>
      <c r="AI42" s="30" t="s">
        <v>65</v>
      </c>
      <c r="AJ42" s="30">
        <v>2</v>
      </c>
      <c r="AK42" s="30">
        <v>0</v>
      </c>
      <c r="AM42" s="11" t="s">
        <v>409</v>
      </c>
      <c r="AN42" s="30" t="s">
        <v>410</v>
      </c>
      <c r="AO42" s="30">
        <v>0</v>
      </c>
      <c r="AP42" s="2">
        <v>45972</v>
      </c>
      <c r="AQ42" s="30" t="s">
        <v>72</v>
      </c>
      <c r="AU42" s="30">
        <v>0</v>
      </c>
      <c r="AV42" s="30">
        <v>0</v>
      </c>
      <c r="AX42" s="30">
        <v>0</v>
      </c>
      <c r="AY42" s="30">
        <v>0</v>
      </c>
      <c r="AZ42" s="30">
        <v>560</v>
      </c>
      <c r="BA42" s="30" t="s">
        <v>97</v>
      </c>
    </row>
    <row r="43" spans="1:53" x14ac:dyDescent="0.2">
      <c r="A43" s="30">
        <v>2021</v>
      </c>
      <c r="B43" s="2">
        <v>45247</v>
      </c>
      <c r="C43" t="s">
        <v>415</v>
      </c>
      <c r="D43" s="2">
        <v>32349</v>
      </c>
      <c r="F43" s="9">
        <v>27.76</v>
      </c>
      <c r="G43" s="30" t="s">
        <v>63</v>
      </c>
      <c r="H43" s="34" t="s">
        <v>64</v>
      </c>
      <c r="I43" s="30">
        <v>0</v>
      </c>
      <c r="J43" s="30">
        <v>0</v>
      </c>
      <c r="L43" s="30">
        <v>0</v>
      </c>
      <c r="M43" s="30">
        <v>0</v>
      </c>
      <c r="N43" s="30">
        <v>1</v>
      </c>
      <c r="O43" s="30">
        <v>0</v>
      </c>
      <c r="P43" s="30">
        <v>1</v>
      </c>
      <c r="Q43" s="30">
        <v>1</v>
      </c>
      <c r="R43" s="30">
        <v>0</v>
      </c>
      <c r="S43" s="30" t="s">
        <v>42</v>
      </c>
      <c r="T43" s="30">
        <v>0</v>
      </c>
      <c r="U43" s="30">
        <v>1</v>
      </c>
      <c r="V43" s="30">
        <v>1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 t="s">
        <v>335</v>
      </c>
      <c r="AC43" s="30">
        <v>1</v>
      </c>
      <c r="AD43" s="30">
        <v>1</v>
      </c>
      <c r="AE43" s="30">
        <v>0</v>
      </c>
      <c r="AF43" t="s">
        <v>416</v>
      </c>
      <c r="AG43" t="s">
        <v>416</v>
      </c>
      <c r="AH43" s="30">
        <v>0</v>
      </c>
      <c r="AI43" s="30" t="s">
        <v>417</v>
      </c>
      <c r="AJ43" s="30">
        <v>2</v>
      </c>
      <c r="AK43" s="30">
        <v>0</v>
      </c>
      <c r="AL43" t="s">
        <v>339</v>
      </c>
      <c r="AM43" s="11" t="s">
        <v>412</v>
      </c>
      <c r="AN43" s="11" t="s">
        <v>411</v>
      </c>
      <c r="AO43" s="30">
        <v>0</v>
      </c>
      <c r="AP43" s="2">
        <v>45979</v>
      </c>
      <c r="AQ43" s="30" t="s">
        <v>68</v>
      </c>
      <c r="AR43" t="s">
        <v>173</v>
      </c>
      <c r="AS43" t="s">
        <v>413</v>
      </c>
      <c r="AU43" s="30">
        <v>0</v>
      </c>
      <c r="AV43" s="30">
        <v>1</v>
      </c>
      <c r="AW43" s="30" t="s">
        <v>406</v>
      </c>
      <c r="AX43" s="30">
        <v>1</v>
      </c>
      <c r="AY43" s="30">
        <v>1</v>
      </c>
      <c r="AZ43" s="30">
        <v>535</v>
      </c>
      <c r="BA43" s="30" t="s">
        <v>97</v>
      </c>
    </row>
    <row r="44" spans="1:53" s="30" customFormat="1" x14ac:dyDescent="0.2">
      <c r="A44" s="30" t="s">
        <v>144</v>
      </c>
      <c r="B44" s="34">
        <v>45268</v>
      </c>
      <c r="C44" s="30" t="s">
        <v>418</v>
      </c>
      <c r="D44" s="34">
        <v>34724</v>
      </c>
      <c r="F44" s="35">
        <v>26.46</v>
      </c>
      <c r="G44" s="30" t="s">
        <v>63</v>
      </c>
      <c r="H44" s="30" t="s">
        <v>64</v>
      </c>
      <c r="I44" s="30">
        <v>0</v>
      </c>
      <c r="J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1</v>
      </c>
      <c r="R44" s="30">
        <v>0</v>
      </c>
      <c r="S44" s="30" t="s">
        <v>42</v>
      </c>
      <c r="T44" s="39">
        <v>1</v>
      </c>
      <c r="U44" s="39">
        <v>0</v>
      </c>
      <c r="V44" s="39">
        <v>0</v>
      </c>
      <c r="W44" s="39">
        <v>0</v>
      </c>
      <c r="X44" s="30" t="s">
        <v>144</v>
      </c>
      <c r="Y44" s="30" t="s">
        <v>144</v>
      </c>
      <c r="Z44" s="30" t="s">
        <v>144</v>
      </c>
      <c r="AA44" s="30" t="s">
        <v>144</v>
      </c>
      <c r="AB44" s="30" t="s">
        <v>144</v>
      </c>
      <c r="AC44" s="30">
        <v>1</v>
      </c>
      <c r="AD44" s="24" t="s">
        <v>144</v>
      </c>
      <c r="AE44" s="24" t="s">
        <v>144</v>
      </c>
      <c r="AF44" s="24" t="s">
        <v>144</v>
      </c>
      <c r="AG44" s="24" t="s">
        <v>144</v>
      </c>
      <c r="AH44" s="24" t="s">
        <v>144</v>
      </c>
      <c r="AI44" s="24" t="s">
        <v>144</v>
      </c>
      <c r="AJ44" s="30">
        <v>2</v>
      </c>
      <c r="AK44" s="24" t="s">
        <v>144</v>
      </c>
      <c r="AL44" s="24" t="s">
        <v>144</v>
      </c>
      <c r="AM44" s="24" t="s">
        <v>144</v>
      </c>
      <c r="AN44" s="24" t="s">
        <v>144</v>
      </c>
      <c r="AO44" s="30">
        <v>0</v>
      </c>
      <c r="AP44" s="34">
        <v>46014</v>
      </c>
      <c r="AQ44" s="24" t="s">
        <v>72</v>
      </c>
      <c r="AR44" s="30" t="s">
        <v>419</v>
      </c>
      <c r="AU44" s="30">
        <v>0</v>
      </c>
      <c r="AV44" s="30">
        <v>0</v>
      </c>
      <c r="AX44" s="30">
        <v>0</v>
      </c>
      <c r="AY44" s="30">
        <v>0</v>
      </c>
      <c r="AZ44" s="30">
        <v>360</v>
      </c>
      <c r="BA44" s="30" t="s">
        <v>97</v>
      </c>
    </row>
    <row r="45" spans="1:53" x14ac:dyDescent="0.2">
      <c r="A45" s="30">
        <v>2023</v>
      </c>
      <c r="B45" s="2">
        <v>45247</v>
      </c>
      <c r="C45" s="30" t="s">
        <v>386</v>
      </c>
      <c r="D45" s="2">
        <v>19851</v>
      </c>
      <c r="F45" s="9">
        <v>23.49</v>
      </c>
      <c r="G45" s="30" t="s">
        <v>63</v>
      </c>
      <c r="H45" s="34" t="s">
        <v>64</v>
      </c>
      <c r="I45" s="30">
        <v>0</v>
      </c>
      <c r="J45" s="30">
        <v>0</v>
      </c>
      <c r="L45" s="30">
        <v>0</v>
      </c>
      <c r="M45" s="30">
        <v>0</v>
      </c>
      <c r="N45" s="30">
        <v>1</v>
      </c>
      <c r="O45" s="30">
        <v>1</v>
      </c>
      <c r="P45" s="30">
        <v>1</v>
      </c>
      <c r="Q45" s="30">
        <v>1</v>
      </c>
      <c r="R45" s="30">
        <v>0</v>
      </c>
      <c r="S45" s="30" t="s">
        <v>42</v>
      </c>
      <c r="T45" s="30">
        <v>1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>
        <v>0</v>
      </c>
      <c r="AC45" s="30">
        <v>1</v>
      </c>
      <c r="AD45" s="30">
        <v>1</v>
      </c>
      <c r="AE45" t="s">
        <v>404</v>
      </c>
      <c r="AF45">
        <v>1</v>
      </c>
      <c r="AG45">
        <v>1</v>
      </c>
      <c r="AH45" s="30">
        <v>0</v>
      </c>
      <c r="AI45" s="30" t="s">
        <v>65</v>
      </c>
      <c r="AJ45" s="30">
        <v>0</v>
      </c>
      <c r="AK45" s="30">
        <v>0</v>
      </c>
      <c r="AM45" s="11" t="s">
        <v>421</v>
      </c>
      <c r="AN45" t="s">
        <v>422</v>
      </c>
      <c r="AO45" s="30">
        <v>0</v>
      </c>
      <c r="AP45" s="2">
        <v>45965</v>
      </c>
      <c r="AQ45" s="30" t="s">
        <v>72</v>
      </c>
      <c r="AR45" s="30" t="s">
        <v>420</v>
      </c>
      <c r="AU45" t="s">
        <v>423</v>
      </c>
      <c r="AV45" s="30">
        <v>0</v>
      </c>
      <c r="AX45" s="30">
        <v>0</v>
      </c>
      <c r="AY45" s="30">
        <v>0</v>
      </c>
      <c r="AZ45" s="30">
        <v>445</v>
      </c>
      <c r="BA45" s="30" t="s">
        <v>97</v>
      </c>
    </row>
    <row r="46" spans="1:53" x14ac:dyDescent="0.2">
      <c r="A46" s="30">
        <v>2023</v>
      </c>
      <c r="B46" s="2">
        <v>45301</v>
      </c>
      <c r="C46" s="30" t="s">
        <v>152</v>
      </c>
      <c r="D46" s="2">
        <v>26577</v>
      </c>
      <c r="F46" s="9">
        <v>20.09</v>
      </c>
      <c r="G46" s="30" t="s">
        <v>63</v>
      </c>
      <c r="H46" s="34" t="s">
        <v>64</v>
      </c>
      <c r="I46" s="30">
        <v>1</v>
      </c>
      <c r="J46" s="30">
        <v>0</v>
      </c>
      <c r="L46" s="30">
        <v>0</v>
      </c>
      <c r="M46" s="30">
        <v>1</v>
      </c>
      <c r="N46" s="30">
        <v>1</v>
      </c>
      <c r="O46" s="30">
        <v>0</v>
      </c>
      <c r="P46" s="30">
        <v>0</v>
      </c>
      <c r="Q46" s="30">
        <v>1</v>
      </c>
      <c r="R46" s="30">
        <v>0</v>
      </c>
      <c r="S46" s="30" t="s">
        <v>42</v>
      </c>
      <c r="T46" s="30">
        <v>1</v>
      </c>
      <c r="U46" s="30">
        <v>0</v>
      </c>
      <c r="V46" s="30">
        <v>0</v>
      </c>
      <c r="W46" s="30">
        <v>0</v>
      </c>
      <c r="X46" s="30">
        <v>1</v>
      </c>
      <c r="Y46" s="30">
        <v>0</v>
      </c>
      <c r="Z46" s="30">
        <v>0</v>
      </c>
      <c r="AA46" t="s">
        <v>424</v>
      </c>
      <c r="AB46">
        <v>0</v>
      </c>
      <c r="AC46" s="30">
        <v>1</v>
      </c>
      <c r="AD46" s="30">
        <v>1</v>
      </c>
      <c r="AE46" t="s">
        <v>404</v>
      </c>
      <c r="AF46">
        <v>0</v>
      </c>
      <c r="AG46">
        <v>0</v>
      </c>
      <c r="AH46" s="30">
        <v>0</v>
      </c>
      <c r="AI46" s="30" t="s">
        <v>106</v>
      </c>
      <c r="AJ46" s="30">
        <v>2</v>
      </c>
      <c r="AK46" s="30">
        <v>0</v>
      </c>
      <c r="AL46" s="11" t="s">
        <v>289</v>
      </c>
      <c r="AN46" t="s">
        <v>425</v>
      </c>
      <c r="AO46" s="30">
        <v>0</v>
      </c>
      <c r="AP46" s="2">
        <v>45729</v>
      </c>
      <c r="AQ46" s="30" t="s">
        <v>72</v>
      </c>
      <c r="AV46" s="30">
        <v>0</v>
      </c>
      <c r="AX46" s="30">
        <v>0</v>
      </c>
      <c r="AY46" s="30">
        <v>0</v>
      </c>
      <c r="AZ46" s="30">
        <v>295</v>
      </c>
      <c r="BA46" s="30" t="s">
        <v>97</v>
      </c>
    </row>
    <row r="47" spans="1:53" x14ac:dyDescent="0.2">
      <c r="A47" s="30">
        <v>2023</v>
      </c>
      <c r="B47" s="2">
        <v>45282</v>
      </c>
      <c r="C47" s="30" t="s">
        <v>428</v>
      </c>
      <c r="D47" s="2">
        <v>21542</v>
      </c>
      <c r="F47" s="9">
        <v>22.24</v>
      </c>
      <c r="G47" s="30" t="s">
        <v>63</v>
      </c>
      <c r="H47" s="34" t="s">
        <v>90</v>
      </c>
      <c r="I47" s="30">
        <v>1</v>
      </c>
      <c r="J47" s="30">
        <v>0</v>
      </c>
      <c r="L47" s="30">
        <v>1</v>
      </c>
      <c r="M47" s="30">
        <v>0</v>
      </c>
      <c r="N47" s="30">
        <v>1</v>
      </c>
      <c r="O47" s="30">
        <v>0</v>
      </c>
      <c r="P47" s="30">
        <v>0</v>
      </c>
      <c r="Q47" s="30">
        <v>1</v>
      </c>
      <c r="R47" s="30">
        <v>0</v>
      </c>
      <c r="S47" s="30" t="s">
        <v>305</v>
      </c>
      <c r="T47" s="30">
        <v>1</v>
      </c>
      <c r="U47" s="30">
        <v>0</v>
      </c>
      <c r="V47" s="30">
        <v>0</v>
      </c>
      <c r="W47" s="30">
        <v>0</v>
      </c>
      <c r="X47" s="30">
        <v>1</v>
      </c>
      <c r="Y47" s="30">
        <v>0</v>
      </c>
      <c r="Z47" s="30">
        <v>0</v>
      </c>
      <c r="AA47">
        <v>1</v>
      </c>
      <c r="AB47">
        <v>1</v>
      </c>
      <c r="AC47" s="30">
        <v>1</v>
      </c>
      <c r="AD47" s="30">
        <v>1</v>
      </c>
      <c r="AE47" t="s">
        <v>376</v>
      </c>
      <c r="AF47">
        <v>1</v>
      </c>
      <c r="AG47">
        <v>1</v>
      </c>
      <c r="AH47" s="30">
        <v>0</v>
      </c>
      <c r="AI47" s="30" t="s">
        <v>65</v>
      </c>
      <c r="AJ47" s="30">
        <v>2</v>
      </c>
      <c r="AK47" s="30">
        <v>2</v>
      </c>
      <c r="AL47" t="s">
        <v>429</v>
      </c>
      <c r="AN47" t="s">
        <v>430</v>
      </c>
      <c r="AO47" s="30">
        <v>0</v>
      </c>
      <c r="AP47" s="2">
        <v>46044</v>
      </c>
      <c r="AQ47" s="30" t="s">
        <v>68</v>
      </c>
      <c r="AR47" t="s">
        <v>160</v>
      </c>
      <c r="AU47" t="s">
        <v>427</v>
      </c>
      <c r="AV47" s="30">
        <v>1</v>
      </c>
      <c r="AW47" t="s">
        <v>426</v>
      </c>
      <c r="AX47" s="30">
        <v>1</v>
      </c>
      <c r="AY47" s="30">
        <v>0</v>
      </c>
      <c r="AZ47" s="30">
        <v>220</v>
      </c>
      <c r="BA47" s="30" t="s">
        <v>97</v>
      </c>
    </row>
    <row r="48" spans="1:53" x14ac:dyDescent="0.2">
      <c r="A48" s="30">
        <v>2023</v>
      </c>
      <c r="B48" s="2">
        <v>45363</v>
      </c>
      <c r="C48" s="30" t="s">
        <v>434</v>
      </c>
      <c r="D48" s="2">
        <v>28323</v>
      </c>
      <c r="F48" s="9">
        <v>28.49</v>
      </c>
      <c r="G48" s="30" t="s">
        <v>63</v>
      </c>
      <c r="H48" s="34" t="s">
        <v>90</v>
      </c>
      <c r="I48" s="30">
        <v>1</v>
      </c>
      <c r="J48" s="30">
        <v>0</v>
      </c>
      <c r="L48" s="30">
        <v>0</v>
      </c>
      <c r="M48" s="30">
        <v>0</v>
      </c>
      <c r="N48" s="30">
        <v>1</v>
      </c>
      <c r="O48" s="30">
        <v>0</v>
      </c>
      <c r="P48" t="s">
        <v>226</v>
      </c>
      <c r="Q48" s="30">
        <v>1</v>
      </c>
      <c r="R48" s="30">
        <v>0</v>
      </c>
      <c r="S48" s="30" t="s">
        <v>305</v>
      </c>
      <c r="T48" s="30">
        <v>0</v>
      </c>
      <c r="U48" s="30">
        <v>1</v>
      </c>
      <c r="V48" s="30">
        <v>0</v>
      </c>
      <c r="W48">
        <v>1</v>
      </c>
      <c r="X48" s="30">
        <v>1</v>
      </c>
      <c r="Y48" s="30">
        <v>0</v>
      </c>
      <c r="Z48" s="11" t="s">
        <v>348</v>
      </c>
      <c r="AA48">
        <v>1</v>
      </c>
      <c r="AB48">
        <v>1</v>
      </c>
      <c r="AC48" s="30">
        <v>1</v>
      </c>
      <c r="AD48" s="30">
        <v>1</v>
      </c>
      <c r="AE48">
        <v>1</v>
      </c>
      <c r="AF48">
        <v>1</v>
      </c>
      <c r="AG48">
        <v>1</v>
      </c>
      <c r="AH48" s="30">
        <v>0</v>
      </c>
      <c r="AI48" s="30" t="s">
        <v>437</v>
      </c>
      <c r="AJ48" s="30">
        <v>2</v>
      </c>
      <c r="AK48" s="30">
        <v>1</v>
      </c>
      <c r="AM48" s="11" t="s">
        <v>433</v>
      </c>
      <c r="AN48" t="s">
        <v>435</v>
      </c>
      <c r="AO48" s="30">
        <v>0</v>
      </c>
      <c r="AP48" s="2">
        <v>45729</v>
      </c>
      <c r="AQ48" s="30" t="s">
        <v>68</v>
      </c>
      <c r="AR48" t="s">
        <v>431</v>
      </c>
      <c r="AS48" t="s">
        <v>432</v>
      </c>
      <c r="AT48" t="s">
        <v>196</v>
      </c>
      <c r="AV48" s="30">
        <v>1</v>
      </c>
      <c r="AW48" s="30" t="s">
        <v>436</v>
      </c>
      <c r="AX48" s="30">
        <v>1</v>
      </c>
      <c r="AY48" s="30">
        <v>0</v>
      </c>
      <c r="AZ48" s="30">
        <v>445</v>
      </c>
      <c r="BA48" s="30" t="s">
        <v>97</v>
      </c>
    </row>
    <row r="49" spans="1:53" x14ac:dyDescent="0.2">
      <c r="A49" t="s">
        <v>144</v>
      </c>
      <c r="B49" s="2">
        <v>45464</v>
      </c>
      <c r="C49" s="30" t="s">
        <v>438</v>
      </c>
      <c r="D49" s="2">
        <v>37286</v>
      </c>
      <c r="F49" s="9">
        <v>21.47</v>
      </c>
      <c r="G49" s="30" t="s">
        <v>63</v>
      </c>
      <c r="H49" s="34" t="s">
        <v>64</v>
      </c>
      <c r="I49" s="30">
        <v>0</v>
      </c>
      <c r="J49" s="30">
        <v>0</v>
      </c>
      <c r="L49" s="30">
        <v>0</v>
      </c>
      <c r="M49" s="30">
        <v>0</v>
      </c>
      <c r="N49" s="30">
        <v>1</v>
      </c>
      <c r="O49" s="30">
        <v>0</v>
      </c>
      <c r="P49" s="30">
        <v>1</v>
      </c>
      <c r="Q49" s="30">
        <v>1</v>
      </c>
      <c r="R49" s="30">
        <v>0</v>
      </c>
      <c r="S49" s="30" t="s">
        <v>42</v>
      </c>
      <c r="T49" s="30">
        <v>1</v>
      </c>
      <c r="U49" s="30">
        <v>0</v>
      </c>
      <c r="V49" s="30">
        <v>0</v>
      </c>
      <c r="W49" s="30">
        <v>0</v>
      </c>
      <c r="X49" t="s">
        <v>144</v>
      </c>
      <c r="Y49" t="s">
        <v>144</v>
      </c>
      <c r="Z49" t="s">
        <v>144</v>
      </c>
      <c r="AA49" t="s">
        <v>144</v>
      </c>
      <c r="AB49" t="s">
        <v>144</v>
      </c>
      <c r="AC49" s="30">
        <v>1</v>
      </c>
      <c r="AD49" s="24" t="s">
        <v>144</v>
      </c>
      <c r="AE49" s="24" t="s">
        <v>144</v>
      </c>
      <c r="AF49" s="24" t="s">
        <v>144</v>
      </c>
      <c r="AG49" s="24" t="s">
        <v>144</v>
      </c>
      <c r="AH49" s="24" t="s">
        <v>144</v>
      </c>
      <c r="AI49" s="24" t="s">
        <v>144</v>
      </c>
      <c r="AJ49" s="30">
        <v>2</v>
      </c>
      <c r="AK49" s="24" t="s">
        <v>144</v>
      </c>
      <c r="AL49" s="24" t="s">
        <v>144</v>
      </c>
      <c r="AM49" s="24" t="s">
        <v>144</v>
      </c>
      <c r="AN49" s="24" t="s">
        <v>144</v>
      </c>
      <c r="AO49" s="30">
        <v>0</v>
      </c>
      <c r="AP49" s="2">
        <v>45930</v>
      </c>
      <c r="AQ49" s="24" t="s">
        <v>72</v>
      </c>
      <c r="AR49" s="11" t="s">
        <v>439</v>
      </c>
      <c r="AU49">
        <v>0</v>
      </c>
      <c r="AV49" s="30">
        <v>0</v>
      </c>
      <c r="AX49" s="30">
        <v>0</v>
      </c>
      <c r="AY49" s="30">
        <v>0</v>
      </c>
      <c r="AZ49" s="30">
        <v>345</v>
      </c>
      <c r="BA49" s="30" t="s">
        <v>97</v>
      </c>
    </row>
    <row r="50" spans="1:53" x14ac:dyDescent="0.2">
      <c r="A50">
        <v>2024</v>
      </c>
      <c r="B50" s="2">
        <v>45351</v>
      </c>
      <c r="C50" s="30" t="s">
        <v>441</v>
      </c>
      <c r="D50" s="2">
        <v>29885</v>
      </c>
      <c r="F50" s="9">
        <v>41.61</v>
      </c>
      <c r="G50" s="30" t="s">
        <v>63</v>
      </c>
      <c r="H50" s="34" t="s">
        <v>90</v>
      </c>
      <c r="I50" s="30">
        <v>1</v>
      </c>
      <c r="J50" s="30">
        <v>0</v>
      </c>
      <c r="L50" s="30">
        <v>1</v>
      </c>
      <c r="M50" s="30">
        <v>0</v>
      </c>
      <c r="N50" s="40">
        <v>0</v>
      </c>
      <c r="O50" s="40">
        <v>1</v>
      </c>
      <c r="P50" s="30">
        <v>1</v>
      </c>
      <c r="Q50" s="30">
        <v>1</v>
      </c>
      <c r="R50" s="30">
        <v>0</v>
      </c>
      <c r="S50" s="30" t="s">
        <v>42</v>
      </c>
      <c r="T50" s="30">
        <v>0</v>
      </c>
      <c r="U50" s="30">
        <v>1</v>
      </c>
      <c r="V50" s="30">
        <v>0</v>
      </c>
      <c r="W50" s="24" t="s">
        <v>358</v>
      </c>
      <c r="X50" s="30">
        <v>0</v>
      </c>
      <c r="Y50" s="30" t="s">
        <v>354</v>
      </c>
      <c r="Z50" s="30">
        <v>0</v>
      </c>
      <c r="AA50">
        <v>0</v>
      </c>
      <c r="AB50">
        <v>0</v>
      </c>
      <c r="AC50" s="30">
        <v>1</v>
      </c>
      <c r="AD50" s="30">
        <v>1</v>
      </c>
      <c r="AE50">
        <v>0</v>
      </c>
      <c r="AF50">
        <v>0</v>
      </c>
      <c r="AG50">
        <v>0</v>
      </c>
      <c r="AH50" s="30">
        <v>0</v>
      </c>
      <c r="AI50" s="30" t="s">
        <v>442</v>
      </c>
      <c r="AJ50" s="30">
        <v>2</v>
      </c>
      <c r="AK50" s="30">
        <v>2</v>
      </c>
      <c r="AM50" s="11" t="s">
        <v>440</v>
      </c>
      <c r="AN50" t="s">
        <v>446</v>
      </c>
      <c r="AO50" s="30">
        <v>0</v>
      </c>
      <c r="AP50" s="2">
        <v>45642</v>
      </c>
      <c r="AQ50" s="30" t="s">
        <v>68</v>
      </c>
      <c r="AR50" t="s">
        <v>443</v>
      </c>
      <c r="AS50" t="s">
        <v>445</v>
      </c>
      <c r="AV50" s="30">
        <v>1</v>
      </c>
      <c r="AW50" t="s">
        <v>444</v>
      </c>
      <c r="AX50" s="30">
        <v>1</v>
      </c>
      <c r="AY50" s="30">
        <v>1</v>
      </c>
      <c r="AZ50" s="30">
        <v>605</v>
      </c>
      <c r="BA50" s="30" t="s">
        <v>97</v>
      </c>
    </row>
    <row r="51" spans="1:53" x14ac:dyDescent="0.2">
      <c r="A51">
        <v>2023</v>
      </c>
      <c r="B51" s="2">
        <v>45359</v>
      </c>
      <c r="C51" s="30" t="s">
        <v>447</v>
      </c>
      <c r="D51" s="2">
        <v>21309</v>
      </c>
      <c r="F51" s="9">
        <v>50.19</v>
      </c>
      <c r="G51" s="30" t="s">
        <v>63</v>
      </c>
      <c r="H51" s="34" t="s">
        <v>90</v>
      </c>
      <c r="I51" s="30">
        <v>1</v>
      </c>
      <c r="J51" t="s">
        <v>448</v>
      </c>
      <c r="K51">
        <v>5.7</v>
      </c>
      <c r="L51" s="30">
        <v>1</v>
      </c>
      <c r="M51" s="30">
        <v>1</v>
      </c>
      <c r="N51" s="38">
        <v>1</v>
      </c>
      <c r="O51" t="s">
        <v>118</v>
      </c>
      <c r="P51" s="30">
        <v>0</v>
      </c>
      <c r="Q51" s="30">
        <v>1</v>
      </c>
      <c r="R51" s="30">
        <v>0</v>
      </c>
      <c r="S51" s="30" t="s">
        <v>42</v>
      </c>
      <c r="T51" s="30">
        <v>0</v>
      </c>
      <c r="U51" s="30">
        <v>1</v>
      </c>
      <c r="V51" s="30">
        <v>0</v>
      </c>
      <c r="W51" s="30">
        <v>1</v>
      </c>
      <c r="X51" s="30">
        <v>0</v>
      </c>
      <c r="Y51" s="30">
        <v>0</v>
      </c>
      <c r="Z51" s="30">
        <v>0</v>
      </c>
      <c r="AA51" s="30">
        <v>0</v>
      </c>
      <c r="AB51" s="30">
        <v>1</v>
      </c>
      <c r="AC51" s="30">
        <v>1</v>
      </c>
      <c r="AD51" s="30">
        <v>1</v>
      </c>
      <c r="AE51" s="30">
        <v>0</v>
      </c>
      <c r="AF51" s="30">
        <v>1</v>
      </c>
      <c r="AG51" s="30">
        <v>1</v>
      </c>
      <c r="AH51" s="30">
        <v>0</v>
      </c>
      <c r="AI51" s="30" t="s">
        <v>106</v>
      </c>
      <c r="AJ51" s="30">
        <v>1</v>
      </c>
      <c r="AK51" s="30">
        <v>1</v>
      </c>
      <c r="AM51" t="s">
        <v>450</v>
      </c>
      <c r="AN51" t="s">
        <v>449</v>
      </c>
      <c r="AO51" s="30">
        <v>0</v>
      </c>
      <c r="AP51" s="2">
        <v>45950</v>
      </c>
      <c r="AQ51" s="30" t="s">
        <v>72</v>
      </c>
      <c r="AU51" t="s">
        <v>451</v>
      </c>
      <c r="AV51" s="30">
        <v>0</v>
      </c>
      <c r="AX51" s="30">
        <v>0</v>
      </c>
      <c r="AY51" s="30">
        <v>0</v>
      </c>
      <c r="AZ51" s="30">
        <v>640</v>
      </c>
      <c r="BA51" s="30" t="s">
        <v>97</v>
      </c>
    </row>
    <row r="52" spans="1:53" x14ac:dyDescent="0.2">
      <c r="A52">
        <v>2024</v>
      </c>
      <c r="B52" s="2">
        <v>45385</v>
      </c>
      <c r="C52" s="30" t="s">
        <v>452</v>
      </c>
      <c r="D52" s="2">
        <v>29880</v>
      </c>
      <c r="F52" s="9">
        <v>34.33</v>
      </c>
      <c r="G52" s="30" t="s">
        <v>63</v>
      </c>
      <c r="H52" s="34" t="s">
        <v>398</v>
      </c>
      <c r="I52" s="30">
        <v>1</v>
      </c>
      <c r="J52">
        <v>1</v>
      </c>
      <c r="L52" s="30">
        <v>1</v>
      </c>
      <c r="M52" s="30">
        <v>0</v>
      </c>
      <c r="N52" s="38">
        <v>1</v>
      </c>
      <c r="O52" s="38">
        <v>0</v>
      </c>
      <c r="P52" s="38">
        <v>0</v>
      </c>
      <c r="Q52" s="38">
        <v>1</v>
      </c>
      <c r="R52" s="38">
        <v>0</v>
      </c>
      <c r="S52" s="30" t="s">
        <v>42</v>
      </c>
      <c r="T52" s="30">
        <v>0</v>
      </c>
      <c r="U52" s="30">
        <v>1</v>
      </c>
      <c r="V52" s="31" t="s">
        <v>453</v>
      </c>
      <c r="W52" s="6">
        <v>0</v>
      </c>
      <c r="X52" s="30">
        <v>0</v>
      </c>
      <c r="Y52" s="30" t="s">
        <v>458</v>
      </c>
      <c r="Z52" t="s">
        <v>338</v>
      </c>
      <c r="AA52" s="30">
        <v>0</v>
      </c>
      <c r="AB52" s="30">
        <v>0</v>
      </c>
      <c r="AC52" s="30">
        <v>1</v>
      </c>
      <c r="AD52" s="30">
        <v>1</v>
      </c>
      <c r="AE52" s="30">
        <v>0</v>
      </c>
      <c r="AF52" s="30">
        <v>0</v>
      </c>
      <c r="AG52" s="30">
        <v>0</v>
      </c>
      <c r="AH52" s="30">
        <v>1</v>
      </c>
      <c r="AI52" s="30" t="s">
        <v>454</v>
      </c>
      <c r="AJ52" s="30">
        <v>2</v>
      </c>
      <c r="AK52" s="6" t="s">
        <v>457</v>
      </c>
      <c r="AL52" t="s">
        <v>339</v>
      </c>
      <c r="AM52" s="11" t="s">
        <v>456</v>
      </c>
      <c r="AN52" t="s">
        <v>459</v>
      </c>
      <c r="AO52" s="30">
        <v>0</v>
      </c>
      <c r="AP52" s="2">
        <v>45814</v>
      </c>
      <c r="AQ52" s="30" t="s">
        <v>72</v>
      </c>
      <c r="AR52" t="s">
        <v>455</v>
      </c>
      <c r="AS52" t="s">
        <v>460</v>
      </c>
      <c r="AV52" s="30">
        <v>0</v>
      </c>
      <c r="AW52" t="s">
        <v>461</v>
      </c>
      <c r="AX52" s="30">
        <v>0</v>
      </c>
      <c r="AY52" s="30">
        <v>0</v>
      </c>
      <c r="AZ52" s="30">
        <v>520</v>
      </c>
      <c r="BA52" s="30" t="s">
        <v>97</v>
      </c>
    </row>
    <row r="53" spans="1:53" x14ac:dyDescent="0.2">
      <c r="A53">
        <v>2024</v>
      </c>
      <c r="B53" s="2">
        <v>45420</v>
      </c>
      <c r="C53" s="30" t="s">
        <v>464</v>
      </c>
      <c r="D53" s="2">
        <v>27711</v>
      </c>
      <c r="F53" s="9">
        <v>19.39</v>
      </c>
      <c r="G53" s="30" t="s">
        <v>63</v>
      </c>
      <c r="H53" s="34" t="s">
        <v>64</v>
      </c>
      <c r="I53" s="30">
        <v>0</v>
      </c>
      <c r="J53">
        <v>0</v>
      </c>
      <c r="L53" s="30">
        <v>0</v>
      </c>
      <c r="M53" s="30">
        <v>0</v>
      </c>
      <c r="N53" s="38">
        <v>0</v>
      </c>
      <c r="O53" s="38">
        <v>0</v>
      </c>
      <c r="P53" s="38">
        <v>0</v>
      </c>
      <c r="Q53" s="38">
        <v>1</v>
      </c>
      <c r="R53" s="38">
        <v>0</v>
      </c>
      <c r="S53" s="30" t="s">
        <v>305</v>
      </c>
      <c r="T53" s="30">
        <v>1</v>
      </c>
      <c r="U53" s="30">
        <v>0</v>
      </c>
      <c r="V53" s="30">
        <v>0</v>
      </c>
      <c r="W53" s="30">
        <v>0</v>
      </c>
      <c r="X53" s="30">
        <v>0</v>
      </c>
      <c r="Y53">
        <v>1</v>
      </c>
      <c r="Z53">
        <v>0</v>
      </c>
      <c r="AA53" s="30">
        <v>1</v>
      </c>
      <c r="AB53" t="s">
        <v>467</v>
      </c>
      <c r="AC53" s="30">
        <v>1</v>
      </c>
      <c r="AD53" s="30">
        <v>1</v>
      </c>
      <c r="AE53" s="30">
        <v>0</v>
      </c>
      <c r="AF53" s="30">
        <v>1</v>
      </c>
      <c r="AG53" s="30">
        <v>1</v>
      </c>
      <c r="AH53" s="30">
        <v>0</v>
      </c>
      <c r="AI53" s="30" t="s">
        <v>120</v>
      </c>
      <c r="AJ53" s="30">
        <v>1</v>
      </c>
      <c r="AK53" s="30">
        <v>1</v>
      </c>
      <c r="AM53" s="11" t="s">
        <v>466</v>
      </c>
      <c r="AN53" t="s">
        <v>465</v>
      </c>
      <c r="AO53" s="30">
        <v>0</v>
      </c>
      <c r="AP53" s="2">
        <v>46044</v>
      </c>
      <c r="AQ53" s="30" t="s">
        <v>68</v>
      </c>
      <c r="AR53" t="s">
        <v>462</v>
      </c>
      <c r="AS53" t="s">
        <v>463</v>
      </c>
      <c r="AU53">
        <v>0</v>
      </c>
      <c r="AV53" s="30">
        <v>1</v>
      </c>
      <c r="AW53" t="s">
        <v>468</v>
      </c>
      <c r="AX53" s="30">
        <v>1</v>
      </c>
      <c r="AY53" s="30">
        <v>0</v>
      </c>
      <c r="AZ53" s="30">
        <v>295</v>
      </c>
      <c r="BA53" s="30" t="s">
        <v>97</v>
      </c>
    </row>
    <row r="54" spans="1:53" x14ac:dyDescent="0.2">
      <c r="A54">
        <v>2023</v>
      </c>
      <c r="B54" s="2">
        <v>45405</v>
      </c>
      <c r="C54" s="30" t="s">
        <v>117</v>
      </c>
      <c r="D54" s="2">
        <v>32203</v>
      </c>
      <c r="F54" s="9">
        <v>19.66</v>
      </c>
      <c r="G54" s="30" t="s">
        <v>63</v>
      </c>
      <c r="H54" s="34" t="s">
        <v>90</v>
      </c>
      <c r="I54" s="30">
        <v>0</v>
      </c>
      <c r="J54">
        <v>0</v>
      </c>
      <c r="L54" s="30">
        <v>0</v>
      </c>
      <c r="M54" s="30">
        <v>0</v>
      </c>
      <c r="N54" s="30">
        <v>1</v>
      </c>
      <c r="O54" t="s">
        <v>118</v>
      </c>
      <c r="P54">
        <v>0</v>
      </c>
      <c r="Q54" s="38">
        <v>1</v>
      </c>
      <c r="R54" s="38">
        <v>0</v>
      </c>
      <c r="S54" s="30" t="s">
        <v>305</v>
      </c>
      <c r="T54" s="30">
        <v>0</v>
      </c>
      <c r="U54" s="30">
        <v>1</v>
      </c>
      <c r="V54" s="30">
        <v>0</v>
      </c>
      <c r="W54" s="30">
        <v>1</v>
      </c>
      <c r="X54" s="30">
        <v>1</v>
      </c>
      <c r="Y54" t="s">
        <v>469</v>
      </c>
      <c r="Z54" s="6" t="s">
        <v>102</v>
      </c>
      <c r="AA54" s="30">
        <v>1</v>
      </c>
      <c r="AB54" s="30">
        <v>1</v>
      </c>
      <c r="AC54" s="30">
        <v>1</v>
      </c>
      <c r="AD54" s="30">
        <v>1</v>
      </c>
      <c r="AE54" s="30">
        <v>0</v>
      </c>
      <c r="AF54" s="30">
        <v>1</v>
      </c>
      <c r="AG54" s="30">
        <v>1</v>
      </c>
      <c r="AH54" s="30">
        <v>1</v>
      </c>
      <c r="AI54" s="30" t="s">
        <v>106</v>
      </c>
      <c r="AJ54" s="30">
        <v>2</v>
      </c>
      <c r="AK54" s="30">
        <v>1</v>
      </c>
      <c r="AL54" t="s">
        <v>470</v>
      </c>
      <c r="AM54" s="11" t="s">
        <v>472</v>
      </c>
      <c r="AN54" t="s">
        <v>471</v>
      </c>
      <c r="AO54" s="30">
        <v>0</v>
      </c>
      <c r="AP54" s="2">
        <v>45659</v>
      </c>
      <c r="AQ54" s="30" t="s">
        <v>68</v>
      </c>
      <c r="AR54" t="s">
        <v>473</v>
      </c>
      <c r="AU54">
        <v>0</v>
      </c>
      <c r="AV54" s="30">
        <v>0</v>
      </c>
      <c r="AX54" s="30">
        <v>0</v>
      </c>
      <c r="AY54" s="30">
        <v>0</v>
      </c>
      <c r="AZ54" s="30">
        <v>280</v>
      </c>
      <c r="BA54" s="30" t="s">
        <v>97</v>
      </c>
    </row>
    <row r="55" spans="1:53" x14ac:dyDescent="0.2">
      <c r="A55">
        <v>2023</v>
      </c>
      <c r="B55" s="2">
        <v>45440</v>
      </c>
      <c r="C55" s="30" t="s">
        <v>117</v>
      </c>
      <c r="D55" s="2">
        <v>36222</v>
      </c>
      <c r="F55" s="9">
        <v>24.13</v>
      </c>
      <c r="G55" s="30" t="s">
        <v>63</v>
      </c>
      <c r="H55" s="34" t="s">
        <v>64</v>
      </c>
      <c r="I55" s="30">
        <v>0</v>
      </c>
      <c r="J55">
        <v>0</v>
      </c>
      <c r="L55" s="30">
        <v>0</v>
      </c>
      <c r="M55" s="30">
        <v>0</v>
      </c>
      <c r="N55" s="30">
        <v>1</v>
      </c>
      <c r="O55" t="s">
        <v>474</v>
      </c>
      <c r="P55">
        <v>1</v>
      </c>
      <c r="Q55" s="38">
        <v>1</v>
      </c>
      <c r="R55" s="38">
        <v>0</v>
      </c>
      <c r="S55" s="30" t="s">
        <v>42</v>
      </c>
      <c r="T55" s="30">
        <v>0</v>
      </c>
      <c r="U55" s="30">
        <v>1</v>
      </c>
      <c r="V55" s="6">
        <v>1</v>
      </c>
      <c r="W55" s="30">
        <v>0</v>
      </c>
      <c r="X55" s="30">
        <v>1</v>
      </c>
      <c r="Y55" t="s">
        <v>477</v>
      </c>
      <c r="Z55" s="11" t="s">
        <v>475</v>
      </c>
      <c r="AA55" s="30">
        <v>0</v>
      </c>
      <c r="AB55" t="s">
        <v>335</v>
      </c>
      <c r="AC55" s="30">
        <v>1</v>
      </c>
      <c r="AD55" s="30">
        <v>1</v>
      </c>
      <c r="AE55" s="30">
        <v>0</v>
      </c>
      <c r="AF55" s="30">
        <v>1</v>
      </c>
      <c r="AG55" s="30">
        <v>1</v>
      </c>
      <c r="AH55" s="30">
        <v>1</v>
      </c>
      <c r="AI55" s="30" t="s">
        <v>65</v>
      </c>
      <c r="AJ55" s="30">
        <v>2</v>
      </c>
      <c r="AK55" s="30">
        <v>1</v>
      </c>
      <c r="AL55" t="s">
        <v>133</v>
      </c>
      <c r="AM55" s="11" t="s">
        <v>476</v>
      </c>
      <c r="AN55" s="11" t="s">
        <v>478</v>
      </c>
      <c r="AO55" s="30">
        <v>0</v>
      </c>
      <c r="AP55" s="2">
        <v>45986</v>
      </c>
      <c r="AQ55" s="30" t="s">
        <v>68</v>
      </c>
      <c r="AR55" t="s">
        <v>160</v>
      </c>
      <c r="AU55">
        <v>0</v>
      </c>
      <c r="AV55" s="30">
        <v>0</v>
      </c>
      <c r="AX55" s="30">
        <v>0</v>
      </c>
      <c r="AY55" s="30">
        <v>0</v>
      </c>
      <c r="AZ55" s="30">
        <v>330</v>
      </c>
      <c r="BA55" s="30" t="s">
        <v>97</v>
      </c>
    </row>
    <row r="56" spans="1:53" s="6" customFormat="1" x14ac:dyDescent="0.2">
      <c r="B56" s="33">
        <v>45463</v>
      </c>
      <c r="F56" s="19"/>
      <c r="G56" s="6" t="s">
        <v>479</v>
      </c>
      <c r="H56" s="33" t="s">
        <v>398</v>
      </c>
    </row>
    <row r="57" spans="1:53" x14ac:dyDescent="0.2">
      <c r="A57" t="s">
        <v>144</v>
      </c>
      <c r="B57" s="2">
        <v>45604</v>
      </c>
      <c r="C57" s="30" t="s">
        <v>480</v>
      </c>
      <c r="D57" s="2">
        <v>31075</v>
      </c>
      <c r="G57" s="30" t="s">
        <v>63</v>
      </c>
      <c r="H57" s="34" t="s">
        <v>64</v>
      </c>
      <c r="I57" s="30">
        <v>0</v>
      </c>
      <c r="J57">
        <v>1</v>
      </c>
      <c r="L57" s="30">
        <v>0</v>
      </c>
      <c r="M57" s="30">
        <v>0</v>
      </c>
      <c r="N57" s="30">
        <v>1</v>
      </c>
      <c r="O57" s="30">
        <v>0</v>
      </c>
      <c r="P57" s="30">
        <v>0</v>
      </c>
      <c r="Q57" s="38">
        <v>1</v>
      </c>
      <c r="R57" s="38">
        <v>0</v>
      </c>
      <c r="S57" s="30" t="s">
        <v>42</v>
      </c>
      <c r="T57" s="30">
        <v>1</v>
      </c>
      <c r="U57" s="30">
        <v>0</v>
      </c>
      <c r="V57" s="30">
        <v>0</v>
      </c>
      <c r="W57" s="30">
        <v>0</v>
      </c>
      <c r="X57" t="s">
        <v>144</v>
      </c>
      <c r="Y57" t="s">
        <v>144</v>
      </c>
      <c r="Z57" t="s">
        <v>144</v>
      </c>
      <c r="AA57" t="s">
        <v>144</v>
      </c>
      <c r="AB57" t="s">
        <v>144</v>
      </c>
      <c r="AC57">
        <v>1</v>
      </c>
      <c r="AD57" s="24" t="s">
        <v>144</v>
      </c>
      <c r="AE57" s="24" t="s">
        <v>144</v>
      </c>
      <c r="AF57" s="24" t="s">
        <v>144</v>
      </c>
      <c r="AG57" s="24" t="s">
        <v>144</v>
      </c>
      <c r="AH57" s="24" t="s">
        <v>144</v>
      </c>
      <c r="AI57" s="24" t="s">
        <v>144</v>
      </c>
      <c r="AJ57" s="30">
        <v>2</v>
      </c>
      <c r="AK57" s="24" t="s">
        <v>144</v>
      </c>
      <c r="AL57" s="24" t="s">
        <v>144</v>
      </c>
      <c r="AM57" s="24" t="s">
        <v>144</v>
      </c>
      <c r="AN57" s="24" t="s">
        <v>144</v>
      </c>
      <c r="AO57" s="30">
        <v>0</v>
      </c>
      <c r="AP57" s="2">
        <v>45971</v>
      </c>
      <c r="AQ57" s="30" t="s">
        <v>72</v>
      </c>
      <c r="AU57">
        <v>0</v>
      </c>
      <c r="AV57" s="30">
        <v>0</v>
      </c>
      <c r="AX57" s="30">
        <v>0</v>
      </c>
      <c r="AY57" s="30">
        <v>0</v>
      </c>
      <c r="AZ57" s="30">
        <v>140</v>
      </c>
      <c r="BA57" s="30" t="s">
        <v>97</v>
      </c>
    </row>
    <row r="58" spans="1:53" x14ac:dyDescent="0.2">
      <c r="A58">
        <v>2024</v>
      </c>
      <c r="B58" s="2">
        <v>45485</v>
      </c>
      <c r="C58" s="30" t="s">
        <v>253</v>
      </c>
      <c r="D58" s="2">
        <v>24567</v>
      </c>
      <c r="G58" s="30" t="s">
        <v>63</v>
      </c>
      <c r="H58" s="34" t="s">
        <v>64</v>
      </c>
      <c r="I58" s="30">
        <v>1</v>
      </c>
      <c r="J58">
        <v>0</v>
      </c>
      <c r="L58" s="30">
        <v>1</v>
      </c>
      <c r="M58" s="6" t="s">
        <v>485</v>
      </c>
      <c r="N58" s="30">
        <v>1</v>
      </c>
      <c r="O58" s="30">
        <v>0</v>
      </c>
      <c r="P58" s="30">
        <v>1</v>
      </c>
      <c r="Q58" s="38">
        <v>1</v>
      </c>
      <c r="R58" s="38">
        <v>0</v>
      </c>
      <c r="S58" s="30" t="s">
        <v>42</v>
      </c>
      <c r="T58" s="30">
        <v>1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>
        <v>1</v>
      </c>
      <c r="AD58" s="30">
        <v>1</v>
      </c>
      <c r="AE58" s="30">
        <v>0</v>
      </c>
      <c r="AF58" s="30">
        <v>0</v>
      </c>
      <c r="AG58" s="30">
        <v>0</v>
      </c>
      <c r="AH58" s="30">
        <v>0</v>
      </c>
      <c r="AI58" s="30" t="s">
        <v>106</v>
      </c>
      <c r="AJ58" s="30">
        <v>1</v>
      </c>
      <c r="AK58" s="29" t="s">
        <v>483</v>
      </c>
      <c r="AM58" s="11" t="s">
        <v>481</v>
      </c>
      <c r="AN58" t="s">
        <v>482</v>
      </c>
      <c r="AO58" s="30">
        <v>0</v>
      </c>
      <c r="AP58" s="2">
        <v>45813</v>
      </c>
      <c r="AQ58" s="30" t="s">
        <v>72</v>
      </c>
      <c r="AR58" s="30" t="s">
        <v>484</v>
      </c>
      <c r="AU58">
        <v>0</v>
      </c>
      <c r="AV58" s="30">
        <v>0</v>
      </c>
      <c r="AX58" s="30">
        <v>0</v>
      </c>
      <c r="AY58" s="30">
        <v>0</v>
      </c>
      <c r="AZ58" s="30">
        <v>375</v>
      </c>
      <c r="BA58" s="30" t="s">
        <v>97</v>
      </c>
    </row>
    <row r="59" spans="1:53" x14ac:dyDescent="0.2">
      <c r="A59">
        <v>2024</v>
      </c>
      <c r="B59" s="2">
        <v>45534</v>
      </c>
      <c r="C59" t="s">
        <v>487</v>
      </c>
      <c r="D59" s="2">
        <v>31103</v>
      </c>
      <c r="F59" s="9">
        <v>21.68</v>
      </c>
      <c r="G59" s="30" t="s">
        <v>63</v>
      </c>
      <c r="H59" s="34" t="s">
        <v>64</v>
      </c>
      <c r="I59" s="30">
        <v>0</v>
      </c>
      <c r="J59">
        <v>0</v>
      </c>
      <c r="L59" s="30">
        <v>0</v>
      </c>
      <c r="M59" s="30">
        <v>0</v>
      </c>
      <c r="N59" s="30">
        <v>1</v>
      </c>
      <c r="O59" s="30">
        <v>0</v>
      </c>
      <c r="P59" s="30">
        <v>1</v>
      </c>
      <c r="Q59" s="38">
        <v>1</v>
      </c>
      <c r="R59" s="38">
        <v>0</v>
      </c>
      <c r="S59" s="30" t="s">
        <v>42</v>
      </c>
      <c r="T59" s="30">
        <v>1</v>
      </c>
      <c r="U59" s="30">
        <v>0</v>
      </c>
      <c r="V59" s="30">
        <v>0</v>
      </c>
      <c r="W59" s="30">
        <v>0</v>
      </c>
      <c r="X59" s="30">
        <v>1</v>
      </c>
      <c r="Y59" s="30">
        <v>0</v>
      </c>
      <c r="Z59" s="11" t="s">
        <v>491</v>
      </c>
      <c r="AA59" s="30">
        <v>1</v>
      </c>
      <c r="AB59">
        <v>1</v>
      </c>
      <c r="AC59">
        <v>1</v>
      </c>
      <c r="AD59" s="30">
        <v>1</v>
      </c>
      <c r="AE59" s="30">
        <v>1</v>
      </c>
      <c r="AF59" s="30">
        <v>1</v>
      </c>
      <c r="AG59" s="30">
        <v>1</v>
      </c>
      <c r="AH59" s="30">
        <v>0</v>
      </c>
      <c r="AI59" s="30" t="s">
        <v>106</v>
      </c>
      <c r="AJ59" s="30">
        <v>1</v>
      </c>
      <c r="AK59">
        <v>1</v>
      </c>
      <c r="AL59" t="s">
        <v>488</v>
      </c>
      <c r="AM59" s="11" t="s">
        <v>486</v>
      </c>
      <c r="AN59" t="s">
        <v>130</v>
      </c>
      <c r="AO59" s="30">
        <v>0</v>
      </c>
      <c r="AP59" s="41"/>
      <c r="AQ59" s="30" t="s">
        <v>72</v>
      </c>
      <c r="AU59">
        <v>0</v>
      </c>
      <c r="AV59" s="30">
        <v>0</v>
      </c>
      <c r="AX59" s="30">
        <v>0</v>
      </c>
      <c r="AY59" s="30">
        <v>0</v>
      </c>
      <c r="AZ59" s="30">
        <v>375</v>
      </c>
      <c r="BA59" s="30" t="s">
        <v>97</v>
      </c>
    </row>
    <row r="60" spans="1:53" x14ac:dyDescent="0.2">
      <c r="A60">
        <v>2023</v>
      </c>
      <c r="B60" s="2">
        <v>45513</v>
      </c>
      <c r="C60" t="s">
        <v>138</v>
      </c>
      <c r="D60" s="2">
        <v>35383</v>
      </c>
      <c r="F60" s="9">
        <v>31.31</v>
      </c>
      <c r="G60" s="30" t="s">
        <v>63</v>
      </c>
      <c r="H60" s="34" t="s">
        <v>64</v>
      </c>
      <c r="I60" s="30">
        <v>0</v>
      </c>
      <c r="J6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8">
        <v>1</v>
      </c>
      <c r="R60" s="38">
        <v>0</v>
      </c>
      <c r="S60" s="30" t="s">
        <v>42</v>
      </c>
      <c r="T60" s="30">
        <v>1</v>
      </c>
      <c r="U60" s="30">
        <v>0</v>
      </c>
      <c r="V60" s="30">
        <v>0</v>
      </c>
      <c r="W60" s="30">
        <v>0</v>
      </c>
      <c r="X60" s="30">
        <v>1</v>
      </c>
      <c r="Y60" s="30">
        <v>0</v>
      </c>
      <c r="Z60" t="s">
        <v>491</v>
      </c>
      <c r="AA60" s="30">
        <v>0</v>
      </c>
      <c r="AB60">
        <v>1</v>
      </c>
      <c r="AC60">
        <v>1</v>
      </c>
      <c r="AD60" s="30">
        <v>1</v>
      </c>
      <c r="AE60" s="30">
        <v>0</v>
      </c>
      <c r="AF60" s="30">
        <v>1</v>
      </c>
      <c r="AG60" s="30">
        <v>1</v>
      </c>
      <c r="AH60" s="30">
        <v>0</v>
      </c>
      <c r="AI60" s="30" t="s">
        <v>106</v>
      </c>
      <c r="AJ60" s="30">
        <v>0</v>
      </c>
      <c r="AK60" s="30">
        <v>0</v>
      </c>
      <c r="AL60" t="s">
        <v>229</v>
      </c>
      <c r="AM60" s="11" t="s">
        <v>490</v>
      </c>
      <c r="AN60" t="s">
        <v>489</v>
      </c>
      <c r="AO60" s="30">
        <v>0</v>
      </c>
      <c r="AP60" s="2">
        <v>45978</v>
      </c>
      <c r="AQ60" s="30" t="s">
        <v>72</v>
      </c>
      <c r="AR60" s="30" t="s">
        <v>492</v>
      </c>
      <c r="AU60">
        <v>0</v>
      </c>
      <c r="AV60" s="30">
        <v>0</v>
      </c>
      <c r="AX60" s="30">
        <v>0</v>
      </c>
      <c r="AY60" s="30">
        <v>0</v>
      </c>
      <c r="AZ60" s="30">
        <v>560</v>
      </c>
      <c r="BA60" s="30" t="s">
        <v>97</v>
      </c>
    </row>
    <row r="61" spans="1:53" x14ac:dyDescent="0.2">
      <c r="A61">
        <v>2024</v>
      </c>
      <c r="B61" s="2">
        <v>45554</v>
      </c>
      <c r="C61" t="s">
        <v>190</v>
      </c>
      <c r="D61" s="2">
        <v>27082</v>
      </c>
      <c r="F61" s="9">
        <v>20.98</v>
      </c>
      <c r="G61" s="30" t="s">
        <v>63</v>
      </c>
      <c r="H61" s="34" t="s">
        <v>64</v>
      </c>
      <c r="I61" s="30">
        <v>0</v>
      </c>
      <c r="J61">
        <v>0</v>
      </c>
      <c r="L61" s="30">
        <v>0</v>
      </c>
      <c r="M61" s="30">
        <v>0</v>
      </c>
      <c r="N61" s="30">
        <v>1</v>
      </c>
      <c r="O61">
        <v>0</v>
      </c>
      <c r="P61" s="30" t="s">
        <v>256</v>
      </c>
      <c r="Q61" s="38">
        <v>1</v>
      </c>
      <c r="R61" s="38">
        <v>0</v>
      </c>
      <c r="S61" s="30" t="s">
        <v>42</v>
      </c>
      <c r="T61" s="30">
        <v>1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1</v>
      </c>
      <c r="AB61">
        <v>1</v>
      </c>
      <c r="AC61">
        <v>1</v>
      </c>
      <c r="AD61" s="30">
        <v>1</v>
      </c>
      <c r="AE61" s="30">
        <v>0</v>
      </c>
      <c r="AF61" s="30">
        <v>1</v>
      </c>
      <c r="AG61" s="30">
        <v>1</v>
      </c>
      <c r="AH61" s="30">
        <v>0</v>
      </c>
      <c r="AI61" s="30" t="s">
        <v>494</v>
      </c>
      <c r="AJ61" s="30">
        <v>1</v>
      </c>
      <c r="AK61" s="30">
        <v>1</v>
      </c>
      <c r="AL61" t="s">
        <v>133</v>
      </c>
      <c r="AM61" s="11" t="s">
        <v>493</v>
      </c>
      <c r="AN61" t="s">
        <v>495</v>
      </c>
      <c r="AO61" s="30">
        <v>0</v>
      </c>
      <c r="AP61" s="2">
        <v>46006</v>
      </c>
      <c r="AQ61" s="30" t="s">
        <v>72</v>
      </c>
      <c r="AU61">
        <v>0</v>
      </c>
      <c r="AV61" s="30">
        <v>0</v>
      </c>
      <c r="AX61" s="30">
        <v>0</v>
      </c>
      <c r="AY61" s="30">
        <v>0</v>
      </c>
      <c r="AZ61" s="30">
        <v>250</v>
      </c>
      <c r="BA61" s="30" t="s">
        <v>97</v>
      </c>
    </row>
    <row r="62" spans="1:53" x14ac:dyDescent="0.2">
      <c r="A62">
        <v>2024</v>
      </c>
      <c r="B62" s="2">
        <v>45576</v>
      </c>
      <c r="C62" t="s">
        <v>497</v>
      </c>
      <c r="D62" s="2">
        <v>29347</v>
      </c>
      <c r="F62" s="9">
        <v>28.57</v>
      </c>
      <c r="G62" s="30" t="s">
        <v>63</v>
      </c>
      <c r="H62" s="34" t="s">
        <v>64</v>
      </c>
      <c r="I62" s="30">
        <v>0</v>
      </c>
      <c r="J62">
        <v>0</v>
      </c>
      <c r="L62" s="30">
        <v>0</v>
      </c>
      <c r="M62" s="30">
        <v>0</v>
      </c>
      <c r="N62" s="30">
        <v>1</v>
      </c>
      <c r="O62">
        <v>0</v>
      </c>
      <c r="P62">
        <v>0</v>
      </c>
      <c r="Q62" s="38">
        <v>1</v>
      </c>
      <c r="R62" s="38">
        <v>0</v>
      </c>
      <c r="S62" s="30" t="s">
        <v>42</v>
      </c>
      <c r="T62" s="30">
        <v>0</v>
      </c>
      <c r="U62" s="30">
        <v>1</v>
      </c>
      <c r="V62" s="30">
        <v>0</v>
      </c>
      <c r="W62" s="24" t="s">
        <v>358</v>
      </c>
      <c r="X62" s="30">
        <v>0</v>
      </c>
      <c r="Y62" s="30">
        <v>0</v>
      </c>
      <c r="Z62">
        <v>0</v>
      </c>
      <c r="AA62" s="30">
        <v>0</v>
      </c>
      <c r="AB62" t="s">
        <v>335</v>
      </c>
      <c r="AC62">
        <v>1</v>
      </c>
      <c r="AD62" s="30">
        <v>1</v>
      </c>
      <c r="AE62" s="30">
        <v>0</v>
      </c>
      <c r="AF62" s="30">
        <v>1</v>
      </c>
      <c r="AG62" s="30">
        <v>1</v>
      </c>
      <c r="AH62" s="30">
        <v>1</v>
      </c>
      <c r="AI62" s="30" t="s">
        <v>65</v>
      </c>
      <c r="AJ62" s="30">
        <v>0</v>
      </c>
      <c r="AK62" s="30">
        <v>0</v>
      </c>
      <c r="AL62" t="s">
        <v>124</v>
      </c>
      <c r="AM62" s="11" t="s">
        <v>499</v>
      </c>
      <c r="AN62" t="s">
        <v>498</v>
      </c>
      <c r="AO62" s="30">
        <v>0</v>
      </c>
      <c r="AP62" s="2">
        <v>46044</v>
      </c>
      <c r="AQ62" s="30" t="s">
        <v>68</v>
      </c>
      <c r="AR62" s="30" t="s">
        <v>196</v>
      </c>
      <c r="AU62">
        <v>0</v>
      </c>
      <c r="AV62" s="30">
        <v>1</v>
      </c>
      <c r="AW62" t="s">
        <v>496</v>
      </c>
      <c r="AX62" s="30">
        <v>1</v>
      </c>
      <c r="AY62" s="30">
        <v>1</v>
      </c>
      <c r="AZ62" s="30">
        <v>486</v>
      </c>
      <c r="BA62" s="30" t="s">
        <v>97</v>
      </c>
    </row>
    <row r="63" spans="1:53" s="13" customFormat="1" x14ac:dyDescent="0.2">
      <c r="B63" s="14">
        <v>45679</v>
      </c>
      <c r="F63" s="25"/>
    </row>
    <row r="64" spans="1:53" s="13" customFormat="1" x14ac:dyDescent="0.2">
      <c r="B64" s="14">
        <v>45667</v>
      </c>
      <c r="F64" s="25"/>
    </row>
    <row r="65" spans="2:15" s="13" customFormat="1" x14ac:dyDescent="0.2">
      <c r="B65" s="14">
        <v>45680</v>
      </c>
      <c r="F65" s="25"/>
    </row>
    <row r="66" spans="2:15" s="13" customFormat="1" x14ac:dyDescent="0.2">
      <c r="B66" s="14">
        <v>45680</v>
      </c>
      <c r="C66" s="13" t="s">
        <v>36</v>
      </c>
      <c r="D66" s="28"/>
      <c r="E66" s="28"/>
      <c r="F66" s="37"/>
      <c r="H66" s="28"/>
      <c r="I66" s="28"/>
      <c r="J66" s="28"/>
      <c r="K66" s="28"/>
      <c r="L66" s="28"/>
      <c r="M66" s="28"/>
      <c r="N66" s="28"/>
      <c r="O66" s="28"/>
    </row>
    <row r="67" spans="2:15" s="13" customFormat="1" x14ac:dyDescent="0.2">
      <c r="B67" s="14">
        <v>45686</v>
      </c>
      <c r="F67" s="25"/>
    </row>
    <row r="87" spans="4:15" x14ac:dyDescent="0.2">
      <c r="D87" s="6"/>
      <c r="E87" s="6"/>
      <c r="F87" s="19"/>
      <c r="H87" s="6"/>
      <c r="I87" s="6"/>
      <c r="J87" s="6"/>
      <c r="K87" s="6"/>
      <c r="L87" s="6"/>
      <c r="M87" s="6"/>
      <c r="N87" s="6"/>
      <c r="O87" s="6"/>
    </row>
    <row r="88" spans="4:15" x14ac:dyDescent="0.2">
      <c r="D88" s="6"/>
      <c r="E88" s="6"/>
      <c r="F88" s="19"/>
      <c r="H88" s="6"/>
      <c r="I88" s="6"/>
      <c r="J88" s="6"/>
      <c r="K88" s="6"/>
      <c r="L88" s="6"/>
      <c r="M88" s="6"/>
      <c r="N88" s="6"/>
      <c r="O88" s="6"/>
    </row>
    <row r="98" spans="4:15" x14ac:dyDescent="0.2">
      <c r="D98" s="6"/>
      <c r="E98" s="6"/>
      <c r="F98" s="19"/>
      <c r="H98" s="6"/>
      <c r="I98" s="6"/>
      <c r="J98" s="6"/>
      <c r="K98" s="6"/>
      <c r="L98" s="6"/>
      <c r="M98" s="6"/>
      <c r="N98" s="6"/>
      <c r="O98" s="6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14AD-64C4-5043-9A40-8597C3FEAC44}">
  <dimension ref="A1:BE226"/>
  <sheetViews>
    <sheetView zoomScale="73" zoomScaleNormal="73" workbookViewId="0">
      <selection sqref="A1:A1048576"/>
    </sheetView>
  </sheetViews>
  <sheetFormatPr baseColWidth="10" defaultRowHeight="16" x14ac:dyDescent="0.2"/>
  <cols>
    <col min="2" max="2" width="22.83203125" customWidth="1"/>
    <col min="4" max="4" width="31.6640625" customWidth="1"/>
    <col min="6" max="6" width="10.6640625" style="9" customWidth="1"/>
    <col min="7" max="7" width="10" style="9" customWidth="1"/>
    <col min="8" max="8" width="12.1640625" customWidth="1"/>
    <col min="10" max="10" width="19.6640625" customWidth="1"/>
    <col min="11" max="11" width="8.83203125" customWidth="1"/>
    <col min="12" max="12" width="5.1640625" customWidth="1"/>
    <col min="13" max="14" width="7.33203125" customWidth="1"/>
    <col min="15" max="15" width="11.83203125" customWidth="1"/>
    <col min="16" max="16" width="13.1640625" customWidth="1"/>
    <col min="18" max="18" width="10" customWidth="1"/>
    <col min="19" max="19" width="10.6640625" customWidth="1"/>
    <col min="23" max="23" width="19.5" customWidth="1"/>
    <col min="24" max="24" width="21.1640625" customWidth="1"/>
    <col min="25" max="25" width="27.5" customWidth="1"/>
    <col min="26" max="26" width="28.83203125" customWidth="1"/>
    <col min="27" max="27" width="15.83203125" style="13" customWidth="1"/>
    <col min="30" max="30" width="17.33203125" customWidth="1"/>
    <col min="31" max="31" width="13.83203125" customWidth="1"/>
    <col min="34" max="34" width="10" customWidth="1"/>
    <col min="35" max="35" width="9" customWidth="1"/>
    <col min="37" max="37" width="17.6640625" customWidth="1"/>
    <col min="38" max="38" width="20.1640625" customWidth="1"/>
    <col min="39" max="39" width="16.33203125" customWidth="1"/>
    <col min="40" max="40" width="14.1640625" customWidth="1"/>
    <col min="43" max="43" width="25.1640625" customWidth="1"/>
    <col min="44" max="44" width="15.5" customWidth="1"/>
    <col min="45" max="45" width="16.1640625" customWidth="1"/>
    <col min="46" max="48" width="17.5" customWidth="1"/>
    <col min="49" max="49" width="18.33203125" customWidth="1"/>
    <col min="50" max="50" width="20.83203125" customWidth="1"/>
    <col min="51" max="51" width="19.5" customWidth="1"/>
    <col min="52" max="52" width="32.6640625" customWidth="1"/>
    <col min="53" max="53" width="13" customWidth="1"/>
    <col min="56" max="56" width="16.5" customWidth="1"/>
  </cols>
  <sheetData>
    <row r="1" spans="1:57" s="3" customFormat="1" x14ac:dyDescent="0.2">
      <c r="F1" s="7"/>
      <c r="G1" s="7"/>
      <c r="AA1" s="13"/>
      <c r="AR1" s="3" t="s">
        <v>62</v>
      </c>
    </row>
    <row r="2" spans="1:57" s="17" customFormat="1" x14ac:dyDescent="0.2">
      <c r="A2" s="15" t="s">
        <v>2</v>
      </c>
      <c r="B2" s="15" t="s">
        <v>19</v>
      </c>
      <c r="C2" s="15" t="s">
        <v>18</v>
      </c>
      <c r="D2" s="15" t="s">
        <v>20</v>
      </c>
      <c r="E2" s="15" t="s">
        <v>0</v>
      </c>
      <c r="F2" s="16" t="s">
        <v>48</v>
      </c>
      <c r="G2" s="16" t="s">
        <v>49</v>
      </c>
      <c r="H2" s="15" t="s">
        <v>50</v>
      </c>
      <c r="I2" s="15" t="s">
        <v>1</v>
      </c>
      <c r="J2" s="15" t="s">
        <v>51</v>
      </c>
      <c r="K2" s="15" t="s">
        <v>52</v>
      </c>
      <c r="L2" s="15" t="s">
        <v>53</v>
      </c>
      <c r="M2" s="15" t="s">
        <v>54</v>
      </c>
      <c r="N2" s="17" t="s">
        <v>98</v>
      </c>
      <c r="O2" s="22" t="s">
        <v>225</v>
      </c>
      <c r="P2" s="15" t="s">
        <v>6</v>
      </c>
      <c r="Q2" s="15" t="s">
        <v>7</v>
      </c>
      <c r="R2" s="15" t="s">
        <v>37</v>
      </c>
      <c r="S2" s="15" t="s">
        <v>41</v>
      </c>
      <c r="T2" s="15" t="s">
        <v>3</v>
      </c>
      <c r="U2" s="15" t="s">
        <v>57</v>
      </c>
      <c r="V2" s="15" t="s">
        <v>58</v>
      </c>
      <c r="W2" s="15" t="s">
        <v>77</v>
      </c>
      <c r="X2" s="15" t="s">
        <v>59</v>
      </c>
      <c r="Y2" s="15" t="s">
        <v>39</v>
      </c>
      <c r="Z2" s="15" t="s">
        <v>38</v>
      </c>
      <c r="AA2" s="32" t="s">
        <v>110</v>
      </c>
      <c r="AB2" s="15" t="s">
        <v>60</v>
      </c>
      <c r="AC2" s="15" t="s">
        <v>230</v>
      </c>
      <c r="AD2" s="15" t="s">
        <v>11</v>
      </c>
      <c r="AE2" s="15" t="s">
        <v>78</v>
      </c>
      <c r="AF2" s="15" t="s">
        <v>40</v>
      </c>
      <c r="AG2" s="15" t="s">
        <v>44</v>
      </c>
      <c r="AH2" s="15" t="s">
        <v>45</v>
      </c>
      <c r="AI2" s="15" t="s">
        <v>46</v>
      </c>
      <c r="AJ2" s="15" t="s">
        <v>4</v>
      </c>
      <c r="AK2" s="15" t="s">
        <v>43</v>
      </c>
      <c r="AL2" s="15" t="s">
        <v>67</v>
      </c>
      <c r="AM2" s="15" t="s">
        <v>73</v>
      </c>
      <c r="AN2" s="15" t="s">
        <v>74</v>
      </c>
      <c r="AO2" s="15" t="s">
        <v>5</v>
      </c>
      <c r="AP2" s="15" t="s">
        <v>8</v>
      </c>
      <c r="AQ2" s="15" t="s">
        <v>47</v>
      </c>
      <c r="AR2" s="15" t="s">
        <v>15</v>
      </c>
      <c r="AS2" s="15" t="s">
        <v>12</v>
      </c>
      <c r="AT2" s="15" t="s">
        <v>13</v>
      </c>
      <c r="AU2" s="15" t="s">
        <v>93</v>
      </c>
      <c r="AV2" s="15" t="s">
        <v>61</v>
      </c>
      <c r="AW2" s="15" t="s">
        <v>70</v>
      </c>
      <c r="AX2" s="15" t="s">
        <v>14</v>
      </c>
      <c r="AY2" s="15" t="s">
        <v>55</v>
      </c>
      <c r="AZ2" s="15" t="s">
        <v>56</v>
      </c>
      <c r="BA2" s="15" t="s">
        <v>9</v>
      </c>
      <c r="BB2" s="15" t="s">
        <v>10</v>
      </c>
      <c r="BC2" s="15" t="s">
        <v>16</v>
      </c>
      <c r="BD2" s="15" t="s">
        <v>17</v>
      </c>
    </row>
    <row r="3" spans="1:57" x14ac:dyDescent="0.2">
      <c r="A3">
        <v>1999</v>
      </c>
      <c r="B3" s="2">
        <v>43838</v>
      </c>
      <c r="C3" s="2">
        <v>43900</v>
      </c>
      <c r="D3" s="2" t="s">
        <v>79</v>
      </c>
      <c r="E3" s="2">
        <v>24947</v>
      </c>
      <c r="F3" s="9">
        <f ca="1">YEARFRAC(E3,TODAY())</f>
        <v>57.847222222222221</v>
      </c>
      <c r="G3" s="9">
        <v>25.01</v>
      </c>
      <c r="H3" s="2" t="s">
        <v>63</v>
      </c>
      <c r="I3" t="s">
        <v>64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 t="s">
        <v>42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 s="13">
        <v>0</v>
      </c>
      <c r="AB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0</v>
      </c>
      <c r="AJ3" t="s">
        <v>65</v>
      </c>
      <c r="AK3">
        <v>2</v>
      </c>
      <c r="AL3">
        <v>1</v>
      </c>
      <c r="AM3" t="s">
        <v>75</v>
      </c>
      <c r="AN3" t="s">
        <v>76</v>
      </c>
      <c r="AO3" t="s">
        <v>66</v>
      </c>
      <c r="AP3">
        <v>0</v>
      </c>
      <c r="AQ3" s="2">
        <v>44732</v>
      </c>
      <c r="AR3" t="s">
        <v>72</v>
      </c>
      <c r="AS3">
        <v>0</v>
      </c>
      <c r="AT3">
        <v>0</v>
      </c>
      <c r="AV3">
        <v>0</v>
      </c>
      <c r="AW3">
        <v>1</v>
      </c>
      <c r="AX3" t="s">
        <v>69</v>
      </c>
      <c r="AY3">
        <v>0</v>
      </c>
      <c r="AZ3">
        <v>0</v>
      </c>
      <c r="BA3">
        <v>350</v>
      </c>
      <c r="BB3">
        <v>250</v>
      </c>
      <c r="BC3">
        <v>350</v>
      </c>
      <c r="BD3" t="s">
        <v>71</v>
      </c>
    </row>
    <row r="4" spans="1:57" x14ac:dyDescent="0.2">
      <c r="A4">
        <v>2019</v>
      </c>
      <c r="B4" s="2">
        <v>43832</v>
      </c>
      <c r="C4" s="2">
        <v>44042</v>
      </c>
      <c r="D4" s="2" t="s">
        <v>79</v>
      </c>
      <c r="E4" s="2">
        <v>17830</v>
      </c>
      <c r="F4" s="9">
        <f t="shared" ref="F4:F35" ca="1" si="0">YEARFRAC(E4,TODAY())</f>
        <v>77.333333333333329</v>
      </c>
      <c r="G4" s="9">
        <v>26.44</v>
      </c>
      <c r="H4" s="2" t="s">
        <v>63</v>
      </c>
      <c r="I4" t="s">
        <v>64</v>
      </c>
      <c r="J4">
        <v>1</v>
      </c>
      <c r="K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 t="s">
        <v>42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 s="13">
        <v>0</v>
      </c>
      <c r="AB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 t="s">
        <v>65</v>
      </c>
      <c r="AK4">
        <v>1</v>
      </c>
      <c r="AL4">
        <v>1</v>
      </c>
      <c r="AM4">
        <v>0</v>
      </c>
      <c r="AN4" s="11" t="s">
        <v>80</v>
      </c>
      <c r="AO4" t="s">
        <v>84</v>
      </c>
      <c r="AP4">
        <v>0</v>
      </c>
      <c r="AQ4" s="2">
        <v>44343</v>
      </c>
      <c r="AR4" t="s">
        <v>68</v>
      </c>
      <c r="AS4" t="s">
        <v>81</v>
      </c>
      <c r="AT4" t="s">
        <v>82</v>
      </c>
      <c r="AV4">
        <v>1</v>
      </c>
      <c r="AW4">
        <v>1</v>
      </c>
      <c r="AX4" t="s">
        <v>83</v>
      </c>
      <c r="AY4">
        <v>0</v>
      </c>
      <c r="AZ4">
        <v>0</v>
      </c>
      <c r="BA4">
        <v>650</v>
      </c>
      <c r="BB4">
        <v>100</v>
      </c>
      <c r="BC4">
        <v>650</v>
      </c>
      <c r="BD4" t="s">
        <v>71</v>
      </c>
    </row>
    <row r="5" spans="1:57" x14ac:dyDescent="0.2">
      <c r="A5">
        <v>2019</v>
      </c>
      <c r="B5" s="2">
        <v>43846</v>
      </c>
      <c r="C5" s="2">
        <v>43985</v>
      </c>
      <c r="D5" s="2" t="s">
        <v>89</v>
      </c>
      <c r="E5" s="2">
        <v>31030</v>
      </c>
      <c r="F5" s="9">
        <f t="shared" ca="1" si="0"/>
        <v>41.194444444444443</v>
      </c>
      <c r="G5" s="9">
        <v>21.68</v>
      </c>
      <c r="H5" s="2" t="s">
        <v>63</v>
      </c>
      <c r="I5" t="s">
        <v>64</v>
      </c>
      <c r="J5">
        <v>0</v>
      </c>
      <c r="K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 t="s">
        <v>42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 s="13">
        <v>0</v>
      </c>
      <c r="AB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 t="s">
        <v>65</v>
      </c>
      <c r="AK5">
        <v>0</v>
      </c>
      <c r="AL5">
        <v>0</v>
      </c>
      <c r="AM5" s="11" t="s">
        <v>86</v>
      </c>
      <c r="AN5" s="12" t="s">
        <v>87</v>
      </c>
      <c r="AO5" t="s">
        <v>88</v>
      </c>
      <c r="AP5">
        <v>0</v>
      </c>
      <c r="AQ5" s="2">
        <v>44502</v>
      </c>
      <c r="AR5" t="s">
        <v>68</v>
      </c>
      <c r="AS5" t="s">
        <v>85</v>
      </c>
      <c r="AT5" t="s">
        <v>81</v>
      </c>
      <c r="AV5">
        <v>1</v>
      </c>
      <c r="AW5">
        <v>0</v>
      </c>
      <c r="AY5">
        <v>0</v>
      </c>
      <c r="AZ5">
        <v>0</v>
      </c>
      <c r="BA5">
        <v>450</v>
      </c>
      <c r="BB5">
        <v>150</v>
      </c>
      <c r="BC5">
        <v>545</v>
      </c>
      <c r="BD5" t="s">
        <v>71</v>
      </c>
    </row>
    <row r="6" spans="1:57" x14ac:dyDescent="0.2">
      <c r="A6">
        <v>2019</v>
      </c>
      <c r="B6" s="2">
        <v>43852</v>
      </c>
      <c r="C6" s="2">
        <v>44244</v>
      </c>
      <c r="D6" s="2" t="s">
        <v>92</v>
      </c>
      <c r="E6" s="2">
        <v>26142</v>
      </c>
      <c r="F6" s="9">
        <f t="shared" ca="1" si="0"/>
        <v>54.572222222222223</v>
      </c>
      <c r="G6" s="9">
        <v>18.21</v>
      </c>
      <c r="H6" s="2" t="s">
        <v>63</v>
      </c>
      <c r="I6" t="s">
        <v>90</v>
      </c>
      <c r="J6">
        <v>0</v>
      </c>
      <c r="K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 t="s">
        <v>42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 s="13">
        <v>0</v>
      </c>
      <c r="AB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 t="s">
        <v>65</v>
      </c>
      <c r="AK6">
        <v>0</v>
      </c>
      <c r="AL6">
        <v>0</v>
      </c>
      <c r="AN6" s="11" t="s">
        <v>91</v>
      </c>
      <c r="AO6" t="s">
        <v>88</v>
      </c>
      <c r="AP6">
        <v>0</v>
      </c>
      <c r="AQ6" s="2">
        <v>45887</v>
      </c>
      <c r="AR6" t="s">
        <v>68</v>
      </c>
      <c r="AS6" t="s">
        <v>85</v>
      </c>
      <c r="AT6" t="s">
        <v>95</v>
      </c>
      <c r="AU6" t="s">
        <v>94</v>
      </c>
      <c r="AV6">
        <v>1</v>
      </c>
      <c r="AW6">
        <v>1</v>
      </c>
      <c r="AX6" t="s">
        <v>96</v>
      </c>
      <c r="AY6">
        <v>1</v>
      </c>
      <c r="AZ6">
        <v>1</v>
      </c>
      <c r="BA6">
        <v>250</v>
      </c>
      <c r="BB6">
        <v>0</v>
      </c>
      <c r="BC6">
        <v>170</v>
      </c>
      <c r="BD6" t="s">
        <v>97</v>
      </c>
    </row>
    <row r="7" spans="1:57" x14ac:dyDescent="0.2">
      <c r="A7">
        <v>2014</v>
      </c>
      <c r="B7" s="2">
        <v>43873</v>
      </c>
      <c r="C7" s="2">
        <v>44026</v>
      </c>
      <c r="D7" s="2" t="s">
        <v>101</v>
      </c>
      <c r="E7" s="2">
        <v>29260</v>
      </c>
      <c r="F7" s="9">
        <f t="shared" ca="1" si="0"/>
        <v>46.041666666666664</v>
      </c>
      <c r="G7" s="9">
        <v>25.55</v>
      </c>
      <c r="H7" s="2" t="s">
        <v>63</v>
      </c>
      <c r="I7" t="s">
        <v>90</v>
      </c>
      <c r="J7">
        <v>0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 t="s">
        <v>42</v>
      </c>
      <c r="U7">
        <v>0</v>
      </c>
      <c r="V7">
        <v>1</v>
      </c>
      <c r="W7" t="s">
        <v>102</v>
      </c>
      <c r="X7" t="s">
        <v>102</v>
      </c>
      <c r="Y7">
        <v>1</v>
      </c>
      <c r="Z7">
        <v>1</v>
      </c>
      <c r="AA7" s="13">
        <v>0</v>
      </c>
      <c r="AB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 t="s">
        <v>65</v>
      </c>
      <c r="AK7">
        <v>2</v>
      </c>
      <c r="AL7">
        <v>1</v>
      </c>
      <c r="AN7" t="s">
        <v>100</v>
      </c>
      <c r="AO7" t="s">
        <v>99</v>
      </c>
      <c r="AP7">
        <v>0</v>
      </c>
      <c r="AQ7" s="2">
        <v>46042</v>
      </c>
      <c r="AR7" t="s">
        <v>72</v>
      </c>
      <c r="AV7">
        <v>0</v>
      </c>
      <c r="AW7">
        <v>0</v>
      </c>
      <c r="AY7">
        <v>0</v>
      </c>
      <c r="AZ7">
        <v>0</v>
      </c>
      <c r="BA7">
        <v>300</v>
      </c>
      <c r="BB7">
        <v>200</v>
      </c>
      <c r="BC7">
        <v>300</v>
      </c>
      <c r="BD7" t="s">
        <v>97</v>
      </c>
    </row>
    <row r="8" spans="1:57" x14ac:dyDescent="0.2">
      <c r="A8">
        <v>2019</v>
      </c>
      <c r="B8" s="2">
        <v>43938</v>
      </c>
      <c r="C8" s="2">
        <v>44084</v>
      </c>
      <c r="D8" s="14" t="s">
        <v>112</v>
      </c>
      <c r="E8" s="2">
        <v>28651</v>
      </c>
      <c r="F8" s="9">
        <f t="shared" ca="1" si="0"/>
        <v>47.705555555555556</v>
      </c>
      <c r="G8" s="9">
        <v>24.34</v>
      </c>
      <c r="H8" s="2" t="s">
        <v>63</v>
      </c>
      <c r="I8" t="s">
        <v>103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 t="s">
        <v>42</v>
      </c>
      <c r="U8">
        <v>0</v>
      </c>
      <c r="V8">
        <v>1</v>
      </c>
      <c r="W8">
        <v>1</v>
      </c>
      <c r="X8">
        <v>0</v>
      </c>
      <c r="Y8">
        <v>1</v>
      </c>
      <c r="Z8">
        <v>1</v>
      </c>
      <c r="AA8" s="13">
        <v>1</v>
      </c>
      <c r="AB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 t="s">
        <v>106</v>
      </c>
      <c r="AK8">
        <v>2</v>
      </c>
      <c r="AL8">
        <v>0</v>
      </c>
      <c r="AM8" t="s">
        <v>108</v>
      </c>
      <c r="AN8" s="11" t="s">
        <v>109</v>
      </c>
      <c r="AO8" t="s">
        <v>107</v>
      </c>
      <c r="AP8">
        <v>0</v>
      </c>
      <c r="AQ8" s="2">
        <v>45965</v>
      </c>
      <c r="AR8" t="s">
        <v>72</v>
      </c>
      <c r="AV8">
        <v>0</v>
      </c>
      <c r="AW8">
        <v>1</v>
      </c>
      <c r="AX8" t="s">
        <v>111</v>
      </c>
      <c r="AY8">
        <v>1</v>
      </c>
      <c r="AZ8">
        <v>0</v>
      </c>
      <c r="BA8">
        <v>550</v>
      </c>
      <c r="BB8">
        <v>400</v>
      </c>
      <c r="BC8" t="s">
        <v>105</v>
      </c>
      <c r="BD8" t="s">
        <v>104</v>
      </c>
    </row>
    <row r="9" spans="1:57" x14ac:dyDescent="0.2">
      <c r="A9">
        <v>2019</v>
      </c>
      <c r="B9" s="2">
        <v>43882</v>
      </c>
      <c r="C9" s="2">
        <v>44089</v>
      </c>
      <c r="D9" s="2" t="s">
        <v>117</v>
      </c>
      <c r="E9" s="2">
        <v>24762</v>
      </c>
      <c r="F9" s="9">
        <f t="shared" ca="1" si="0"/>
        <v>58.352777777777774</v>
      </c>
      <c r="G9" s="9">
        <v>22.1</v>
      </c>
      <c r="H9" s="2" t="s">
        <v>63</v>
      </c>
      <c r="I9" t="s">
        <v>64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 t="s">
        <v>42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 s="13">
        <v>0</v>
      </c>
      <c r="AB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 t="s">
        <v>106</v>
      </c>
      <c r="AK9">
        <v>2</v>
      </c>
      <c r="AL9">
        <v>1</v>
      </c>
      <c r="AM9" t="s">
        <v>113</v>
      </c>
      <c r="AN9" s="11" t="s">
        <v>114</v>
      </c>
      <c r="AO9" t="s">
        <v>115</v>
      </c>
      <c r="AP9">
        <v>0</v>
      </c>
      <c r="AQ9" s="2">
        <v>44217</v>
      </c>
      <c r="AR9" t="s">
        <v>72</v>
      </c>
      <c r="AS9" t="s">
        <v>116</v>
      </c>
      <c r="AV9">
        <v>0</v>
      </c>
      <c r="AW9">
        <v>0</v>
      </c>
      <c r="AY9">
        <v>0</v>
      </c>
      <c r="AZ9">
        <v>0</v>
      </c>
      <c r="BA9">
        <v>550</v>
      </c>
      <c r="BB9">
        <v>100</v>
      </c>
      <c r="BC9">
        <v>525</v>
      </c>
      <c r="BD9" t="s">
        <v>97</v>
      </c>
    </row>
    <row r="10" spans="1:57" x14ac:dyDescent="0.2">
      <c r="A10">
        <v>2019</v>
      </c>
      <c r="B10" s="2">
        <v>43663</v>
      </c>
      <c r="C10" s="2">
        <v>43763</v>
      </c>
      <c r="D10" s="2" t="s">
        <v>123</v>
      </c>
      <c r="E10" s="2">
        <v>20433</v>
      </c>
      <c r="F10" s="9">
        <f t="shared" ca="1" si="0"/>
        <v>70.205555555555549</v>
      </c>
      <c r="G10" s="9">
        <v>22.24</v>
      </c>
      <c r="H10" s="2" t="s">
        <v>63</v>
      </c>
      <c r="I10" t="s">
        <v>64</v>
      </c>
      <c r="J10">
        <v>0</v>
      </c>
      <c r="K10">
        <v>0</v>
      </c>
      <c r="M10">
        <v>0</v>
      </c>
      <c r="N10">
        <v>0</v>
      </c>
      <c r="O10">
        <v>0</v>
      </c>
      <c r="P10" t="s">
        <v>118</v>
      </c>
      <c r="Q10">
        <v>1</v>
      </c>
      <c r="R10">
        <v>0</v>
      </c>
      <c r="S10">
        <v>1</v>
      </c>
      <c r="T10" t="s">
        <v>42</v>
      </c>
      <c r="U10">
        <v>0</v>
      </c>
      <c r="V10">
        <v>1</v>
      </c>
      <c r="W10" t="s">
        <v>102</v>
      </c>
      <c r="X10" t="s">
        <v>102</v>
      </c>
      <c r="Y10">
        <v>0</v>
      </c>
      <c r="Z10">
        <v>0</v>
      </c>
      <c r="AA10" s="13">
        <v>0</v>
      </c>
      <c r="AB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 t="s">
        <v>120</v>
      </c>
      <c r="AK10">
        <v>2</v>
      </c>
      <c r="AL10">
        <v>1</v>
      </c>
      <c r="AM10" t="s">
        <v>124</v>
      </c>
      <c r="AN10" s="11" t="s">
        <v>122</v>
      </c>
      <c r="AO10" s="13" t="s">
        <v>121</v>
      </c>
      <c r="AP10">
        <v>0</v>
      </c>
      <c r="AQ10" s="2">
        <v>43895</v>
      </c>
      <c r="AR10" t="s">
        <v>72</v>
      </c>
      <c r="AV10">
        <v>0</v>
      </c>
      <c r="AW10">
        <v>1</v>
      </c>
      <c r="AX10" t="s">
        <v>125</v>
      </c>
      <c r="AY10">
        <v>1</v>
      </c>
      <c r="AZ10">
        <v>1</v>
      </c>
      <c r="BA10">
        <v>450</v>
      </c>
      <c r="BB10" t="s">
        <v>119</v>
      </c>
      <c r="BC10">
        <v>525</v>
      </c>
      <c r="BD10" t="s">
        <v>97</v>
      </c>
      <c r="BE10" t="s">
        <v>126</v>
      </c>
    </row>
    <row r="11" spans="1:57" x14ac:dyDescent="0.2">
      <c r="A11">
        <v>2020</v>
      </c>
      <c r="B11" s="2">
        <v>43887</v>
      </c>
      <c r="C11" s="2">
        <v>44012</v>
      </c>
      <c r="D11" s="2" t="s">
        <v>129</v>
      </c>
      <c r="E11" s="2">
        <v>24595</v>
      </c>
      <c r="F11" s="9">
        <f t="shared" ca="1" si="0"/>
        <v>58.80833333333333</v>
      </c>
      <c r="G11" s="9">
        <v>23.49</v>
      </c>
      <c r="H11" s="2" t="s">
        <v>63</v>
      </c>
      <c r="I11" t="s">
        <v>90</v>
      </c>
      <c r="J11">
        <v>1</v>
      </c>
      <c r="K11">
        <v>0</v>
      </c>
      <c r="M11" s="13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 t="s">
        <v>42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 s="13">
        <v>0</v>
      </c>
      <c r="AB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 t="s">
        <v>65</v>
      </c>
      <c r="AK11">
        <v>0</v>
      </c>
      <c r="AL11">
        <v>0</v>
      </c>
      <c r="AM11" s="11" t="s">
        <v>127</v>
      </c>
      <c r="AN11" t="s">
        <v>128</v>
      </c>
      <c r="AO11" t="s">
        <v>130</v>
      </c>
      <c r="AP11">
        <v>0</v>
      </c>
      <c r="AQ11" s="2">
        <v>44622</v>
      </c>
      <c r="AR11" t="s">
        <v>68</v>
      </c>
      <c r="AS11" t="s">
        <v>131</v>
      </c>
      <c r="AT11" t="s">
        <v>132</v>
      </c>
      <c r="AU11" t="s">
        <v>82</v>
      </c>
      <c r="AV11">
        <v>0</v>
      </c>
      <c r="AW11">
        <v>0</v>
      </c>
      <c r="AY11">
        <v>0</v>
      </c>
      <c r="AZ11">
        <v>0</v>
      </c>
      <c r="BA11">
        <v>550</v>
      </c>
      <c r="BB11">
        <v>50</v>
      </c>
      <c r="BC11">
        <v>465</v>
      </c>
      <c r="BD11" t="s">
        <v>97</v>
      </c>
    </row>
    <row r="12" spans="1:57" x14ac:dyDescent="0.2">
      <c r="A12">
        <v>2019</v>
      </c>
      <c r="B12" s="2">
        <v>43945</v>
      </c>
      <c r="C12" s="2">
        <v>44244</v>
      </c>
      <c r="D12" s="2" t="s">
        <v>134</v>
      </c>
      <c r="E12" s="2">
        <v>24240</v>
      </c>
      <c r="F12" s="9">
        <f t="shared" ca="1" si="0"/>
        <v>59.780555555555559</v>
      </c>
      <c r="G12" s="9">
        <v>30.61</v>
      </c>
      <c r="H12" s="2" t="s">
        <v>63</v>
      </c>
      <c r="I12" t="s">
        <v>64</v>
      </c>
      <c r="J12" s="13">
        <v>1</v>
      </c>
      <c r="K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 t="s">
        <v>42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 s="13">
        <v>0</v>
      </c>
      <c r="AB12">
        <v>0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0</v>
      </c>
      <c r="AJ12" t="s">
        <v>65</v>
      </c>
      <c r="AK12">
        <v>2</v>
      </c>
      <c r="AL12">
        <v>0</v>
      </c>
      <c r="AM12" t="s">
        <v>133</v>
      </c>
      <c r="AN12" s="11" t="s">
        <v>135</v>
      </c>
      <c r="AO12" s="13" t="s">
        <v>136</v>
      </c>
      <c r="AP12">
        <v>0</v>
      </c>
      <c r="AQ12" s="2">
        <v>45054</v>
      </c>
      <c r="AR12" t="s">
        <v>72</v>
      </c>
      <c r="AV12">
        <v>0</v>
      </c>
      <c r="AW12">
        <v>0</v>
      </c>
      <c r="AY12">
        <v>0</v>
      </c>
      <c r="AZ12">
        <v>0</v>
      </c>
      <c r="BA12">
        <v>550</v>
      </c>
      <c r="BB12">
        <v>200</v>
      </c>
      <c r="BC12">
        <v>400</v>
      </c>
      <c r="BD12" t="s">
        <v>97</v>
      </c>
    </row>
    <row r="13" spans="1:57" x14ac:dyDescent="0.2">
      <c r="A13">
        <v>2020</v>
      </c>
      <c r="B13" s="2">
        <v>43951</v>
      </c>
      <c r="C13" s="2">
        <v>44105</v>
      </c>
      <c r="D13" s="2" t="s">
        <v>219</v>
      </c>
      <c r="E13" s="2">
        <v>26926</v>
      </c>
      <c r="F13" s="9">
        <f t="shared" ca="1" si="0"/>
        <v>52.430555555555557</v>
      </c>
      <c r="G13" s="9">
        <v>30.72</v>
      </c>
      <c r="H13" s="2" t="s">
        <v>63</v>
      </c>
      <c r="I13" t="s">
        <v>64</v>
      </c>
      <c r="J13">
        <v>1</v>
      </c>
      <c r="K13">
        <v>0</v>
      </c>
      <c r="M13">
        <v>0</v>
      </c>
      <c r="N13">
        <v>0</v>
      </c>
      <c r="O13" s="30">
        <v>0</v>
      </c>
      <c r="P13" t="s">
        <v>118</v>
      </c>
      <c r="Q13">
        <v>1</v>
      </c>
      <c r="R13">
        <v>1</v>
      </c>
      <c r="S13">
        <v>0</v>
      </c>
      <c r="T13" t="s">
        <v>42</v>
      </c>
      <c r="U13">
        <v>0</v>
      </c>
      <c r="V13">
        <v>1</v>
      </c>
      <c r="W13" t="s">
        <v>102</v>
      </c>
      <c r="X13" t="s">
        <v>102</v>
      </c>
      <c r="Y13" s="28">
        <v>0</v>
      </c>
      <c r="Z13">
        <v>1</v>
      </c>
      <c r="AA13" s="13">
        <v>1</v>
      </c>
      <c r="AB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1</v>
      </c>
      <c r="AJ13" t="s">
        <v>106</v>
      </c>
      <c r="AK13">
        <v>0</v>
      </c>
      <c r="AL13">
        <v>0</v>
      </c>
      <c r="AM13" t="s">
        <v>124</v>
      </c>
      <c r="AN13" s="11" t="s">
        <v>224</v>
      </c>
      <c r="AO13" t="s">
        <v>221</v>
      </c>
      <c r="AP13">
        <v>0</v>
      </c>
      <c r="AQ13" s="2">
        <v>44992</v>
      </c>
      <c r="AR13" t="s">
        <v>68</v>
      </c>
      <c r="AS13" t="s">
        <v>220</v>
      </c>
      <c r="AT13" t="s">
        <v>222</v>
      </c>
      <c r="AV13">
        <v>0</v>
      </c>
      <c r="AW13">
        <v>1</v>
      </c>
      <c r="AX13" t="s">
        <v>223</v>
      </c>
      <c r="AY13">
        <v>0</v>
      </c>
      <c r="AZ13">
        <v>0</v>
      </c>
      <c r="BA13">
        <v>750</v>
      </c>
      <c r="BB13">
        <v>100</v>
      </c>
      <c r="BC13">
        <v>750</v>
      </c>
      <c r="BD13" t="s">
        <v>97</v>
      </c>
    </row>
    <row r="14" spans="1:57" x14ac:dyDescent="0.2">
      <c r="A14">
        <v>2019</v>
      </c>
      <c r="B14" s="2">
        <v>44005</v>
      </c>
      <c r="C14" s="2">
        <v>44383</v>
      </c>
      <c r="D14" s="2" t="s">
        <v>227</v>
      </c>
      <c r="E14" s="2">
        <v>34325</v>
      </c>
      <c r="F14" s="9">
        <f t="shared" ca="1" si="0"/>
        <v>32.172222222222224</v>
      </c>
      <c r="G14" s="9">
        <v>20.9</v>
      </c>
      <c r="H14" s="2" t="s">
        <v>63</v>
      </c>
      <c r="I14" t="s">
        <v>240</v>
      </c>
      <c r="J14">
        <v>0</v>
      </c>
      <c r="K14">
        <v>0</v>
      </c>
      <c r="M14">
        <v>0</v>
      </c>
      <c r="N14">
        <v>0</v>
      </c>
      <c r="O14" s="30">
        <v>0</v>
      </c>
      <c r="P14">
        <v>0</v>
      </c>
      <c r="Q14" t="s">
        <v>226</v>
      </c>
      <c r="R14">
        <v>1</v>
      </c>
      <c r="S14">
        <v>0</v>
      </c>
      <c r="T14" t="s">
        <v>42</v>
      </c>
      <c r="U14">
        <v>1</v>
      </c>
      <c r="V14">
        <v>0</v>
      </c>
      <c r="W14">
        <v>0</v>
      </c>
      <c r="X14">
        <v>0</v>
      </c>
      <c r="Y14">
        <v>1</v>
      </c>
      <c r="Z14">
        <v>1</v>
      </c>
      <c r="AA14" s="13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 t="s">
        <v>106</v>
      </c>
      <c r="AK14">
        <v>2</v>
      </c>
      <c r="AL14">
        <v>1</v>
      </c>
      <c r="AM14" t="s">
        <v>229</v>
      </c>
      <c r="AN14" s="11" t="s">
        <v>228</v>
      </c>
      <c r="AO14" t="s">
        <v>231</v>
      </c>
      <c r="AP14">
        <v>0</v>
      </c>
      <c r="AQ14" s="2">
        <v>45512</v>
      </c>
      <c r="AR14" t="s">
        <v>68</v>
      </c>
      <c r="AS14" t="s">
        <v>233</v>
      </c>
      <c r="AT14" t="s">
        <v>235</v>
      </c>
      <c r="AU14" t="s">
        <v>236</v>
      </c>
      <c r="AV14">
        <v>0</v>
      </c>
      <c r="AW14">
        <v>1</v>
      </c>
      <c r="AX14" t="s">
        <v>232</v>
      </c>
      <c r="AY14">
        <v>1</v>
      </c>
      <c r="AZ14">
        <v>1</v>
      </c>
      <c r="BA14">
        <v>350</v>
      </c>
      <c r="BB14">
        <v>50</v>
      </c>
      <c r="BC14" t="s">
        <v>234</v>
      </c>
      <c r="BD14" t="s">
        <v>97</v>
      </c>
    </row>
    <row r="15" spans="1:57" x14ac:dyDescent="0.2">
      <c r="A15">
        <v>2020</v>
      </c>
      <c r="B15" s="2">
        <v>43991</v>
      </c>
      <c r="C15" s="2">
        <v>44134</v>
      </c>
      <c r="D15" s="2" t="s">
        <v>152</v>
      </c>
      <c r="E15" s="2">
        <v>29223</v>
      </c>
      <c r="F15" s="9">
        <f t="shared" ca="1" si="0"/>
        <v>46.141666666666666</v>
      </c>
      <c r="G15" s="9">
        <v>23.96</v>
      </c>
      <c r="H15" s="2" t="s">
        <v>63</v>
      </c>
      <c r="I15" t="s">
        <v>240</v>
      </c>
      <c r="J15">
        <v>0</v>
      </c>
      <c r="K15">
        <v>0</v>
      </c>
      <c r="M15">
        <v>0</v>
      </c>
      <c r="N15">
        <v>0</v>
      </c>
      <c r="O15">
        <v>0</v>
      </c>
      <c r="P15" t="s">
        <v>118</v>
      </c>
      <c r="Q15">
        <v>0</v>
      </c>
      <c r="R15">
        <v>1</v>
      </c>
      <c r="S15">
        <v>0</v>
      </c>
      <c r="T15" t="s">
        <v>42</v>
      </c>
      <c r="U15">
        <v>1</v>
      </c>
      <c r="V15">
        <v>0</v>
      </c>
      <c r="W15">
        <v>0</v>
      </c>
      <c r="X15">
        <v>0</v>
      </c>
      <c r="Y15">
        <v>1</v>
      </c>
      <c r="Z15">
        <v>1</v>
      </c>
      <c r="AA15" s="13">
        <v>0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 t="s">
        <v>65</v>
      </c>
      <c r="AK15">
        <v>0</v>
      </c>
      <c r="AL15">
        <v>0</v>
      </c>
      <c r="AM15" t="s">
        <v>124</v>
      </c>
      <c r="AN15" s="11" t="s">
        <v>238</v>
      </c>
      <c r="AO15" t="s">
        <v>239</v>
      </c>
      <c r="AP15">
        <v>0</v>
      </c>
      <c r="AQ15" s="2">
        <v>45331</v>
      </c>
      <c r="AR15" t="s">
        <v>72</v>
      </c>
      <c r="AV15">
        <v>0</v>
      </c>
      <c r="AW15">
        <v>0</v>
      </c>
      <c r="AY15">
        <v>0</v>
      </c>
      <c r="AZ15">
        <v>0</v>
      </c>
      <c r="BA15">
        <v>350</v>
      </c>
      <c r="BB15">
        <v>60</v>
      </c>
      <c r="BC15" t="s">
        <v>237</v>
      </c>
      <c r="BD15" t="s">
        <v>97</v>
      </c>
    </row>
    <row r="16" spans="1:57" x14ac:dyDescent="0.2">
      <c r="A16">
        <v>2020</v>
      </c>
      <c r="B16" s="2">
        <v>44029</v>
      </c>
      <c r="C16" s="2">
        <v>409506</v>
      </c>
      <c r="D16" s="2" t="s">
        <v>152</v>
      </c>
      <c r="E16" s="2">
        <v>31562</v>
      </c>
      <c r="F16" s="9">
        <f t="shared" ca="1" si="0"/>
        <v>39.733333333333334</v>
      </c>
      <c r="G16" s="9">
        <v>19.309999999999999</v>
      </c>
      <c r="H16" s="2" t="s">
        <v>63</v>
      </c>
      <c r="I16" t="s">
        <v>240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R16">
        <v>1</v>
      </c>
      <c r="S16">
        <v>0</v>
      </c>
      <c r="T16" t="s">
        <v>42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 s="13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 t="s">
        <v>106</v>
      </c>
      <c r="AK16">
        <v>2</v>
      </c>
      <c r="AL16">
        <v>0</v>
      </c>
      <c r="AM16" t="s">
        <v>133</v>
      </c>
      <c r="AN16" s="11" t="s">
        <v>241</v>
      </c>
      <c r="AO16" t="s">
        <v>242</v>
      </c>
      <c r="AP16">
        <v>0</v>
      </c>
      <c r="AQ16" s="2">
        <v>44411</v>
      </c>
      <c r="AR16" t="s">
        <v>68</v>
      </c>
      <c r="AS16" t="s">
        <v>244</v>
      </c>
      <c r="AV16">
        <v>1</v>
      </c>
      <c r="AW16">
        <v>1</v>
      </c>
      <c r="AX16" t="s">
        <v>243</v>
      </c>
      <c r="AY16">
        <v>1</v>
      </c>
      <c r="AZ16">
        <v>1</v>
      </c>
      <c r="BA16">
        <v>350</v>
      </c>
      <c r="BB16">
        <v>0</v>
      </c>
      <c r="BC16">
        <v>365</v>
      </c>
      <c r="BD16" t="s">
        <v>97</v>
      </c>
    </row>
    <row r="17" spans="1:57" x14ac:dyDescent="0.2">
      <c r="A17">
        <v>2020</v>
      </c>
      <c r="B17" s="2">
        <v>44013</v>
      </c>
      <c r="C17" s="2">
        <v>44117</v>
      </c>
      <c r="D17" s="2" t="s">
        <v>227</v>
      </c>
      <c r="E17" s="2">
        <v>27291</v>
      </c>
      <c r="F17" s="9">
        <f t="shared" ca="1" si="0"/>
        <v>51.430555555555557</v>
      </c>
      <c r="G17" s="9">
        <v>18.54</v>
      </c>
      <c r="H17" s="2" t="s">
        <v>63</v>
      </c>
      <c r="I17" t="s">
        <v>64</v>
      </c>
      <c r="J17">
        <v>0</v>
      </c>
      <c r="K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 t="s">
        <v>42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 s="13">
        <v>0</v>
      </c>
      <c r="AB17">
        <v>0</v>
      </c>
      <c r="AC17">
        <v>0</v>
      </c>
      <c r="AD17">
        <v>1</v>
      </c>
      <c r="AE17">
        <v>1</v>
      </c>
      <c r="AF17" s="29" t="s">
        <v>102</v>
      </c>
      <c r="AG17">
        <v>1</v>
      </c>
      <c r="AH17">
        <v>1</v>
      </c>
      <c r="AI17">
        <v>0</v>
      </c>
      <c r="AJ17" t="s">
        <v>246</v>
      </c>
      <c r="AK17">
        <v>2</v>
      </c>
      <c r="AL17">
        <v>1</v>
      </c>
      <c r="AN17" s="11" t="s">
        <v>245</v>
      </c>
      <c r="AO17" t="s">
        <v>121</v>
      </c>
      <c r="AP17">
        <v>0</v>
      </c>
      <c r="AQ17" s="2">
        <v>45992</v>
      </c>
      <c r="AR17" t="s">
        <v>72</v>
      </c>
      <c r="AS17" t="s">
        <v>247</v>
      </c>
      <c r="AV17">
        <v>0</v>
      </c>
      <c r="AW17">
        <v>0</v>
      </c>
      <c r="AY17">
        <v>0</v>
      </c>
      <c r="AZ17">
        <v>0</v>
      </c>
      <c r="BA17">
        <v>350</v>
      </c>
      <c r="BB17">
        <v>50</v>
      </c>
      <c r="BC17">
        <v>330</v>
      </c>
      <c r="BD17" t="s">
        <v>97</v>
      </c>
    </row>
    <row r="18" spans="1:57" x14ac:dyDescent="0.2">
      <c r="A18">
        <v>2019</v>
      </c>
      <c r="B18" s="2">
        <v>43938</v>
      </c>
      <c r="C18" s="2">
        <v>44084</v>
      </c>
      <c r="D18" s="2" t="s">
        <v>152</v>
      </c>
      <c r="E18" s="2">
        <v>28651</v>
      </c>
      <c r="F18" s="9">
        <f t="shared" ca="1" si="0"/>
        <v>47.705555555555556</v>
      </c>
      <c r="G18" s="9">
        <v>24.34</v>
      </c>
      <c r="H18" s="2" t="s">
        <v>63</v>
      </c>
      <c r="I18" t="s">
        <v>103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42</v>
      </c>
      <c r="U18">
        <v>0</v>
      </c>
      <c r="V18">
        <v>1</v>
      </c>
      <c r="W18">
        <v>1</v>
      </c>
      <c r="X18">
        <v>0</v>
      </c>
      <c r="Y18">
        <v>1</v>
      </c>
      <c r="Z18">
        <v>1</v>
      </c>
      <c r="AA18" s="13">
        <v>1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 t="s">
        <v>106</v>
      </c>
      <c r="AK18">
        <v>2</v>
      </c>
      <c r="AL18">
        <v>0</v>
      </c>
      <c r="AN18" s="11" t="s">
        <v>248</v>
      </c>
      <c r="AO18" t="s">
        <v>250</v>
      </c>
      <c r="AP18">
        <v>0</v>
      </c>
      <c r="AQ18" s="2">
        <v>45782</v>
      </c>
      <c r="AR18" t="s">
        <v>68</v>
      </c>
      <c r="AS18" t="s">
        <v>204</v>
      </c>
      <c r="AV18">
        <v>0</v>
      </c>
      <c r="AW18">
        <v>1</v>
      </c>
      <c r="AX18" t="s">
        <v>249</v>
      </c>
      <c r="AY18">
        <v>1</v>
      </c>
      <c r="AZ18">
        <v>0</v>
      </c>
      <c r="BA18">
        <v>550</v>
      </c>
      <c r="BB18">
        <v>400</v>
      </c>
      <c r="BC18" t="s">
        <v>251</v>
      </c>
      <c r="BD18" t="s">
        <v>97</v>
      </c>
      <c r="BE18" t="s">
        <v>252</v>
      </c>
    </row>
    <row r="19" spans="1:57" x14ac:dyDescent="0.2">
      <c r="A19">
        <v>2020</v>
      </c>
      <c r="B19" s="2">
        <v>44069</v>
      </c>
      <c r="C19" s="2">
        <v>44196</v>
      </c>
      <c r="D19" s="2" t="s">
        <v>253</v>
      </c>
      <c r="E19" s="2">
        <v>19534</v>
      </c>
      <c r="F19" s="9">
        <f t="shared" ca="1" si="0"/>
        <v>72.666666666666671</v>
      </c>
      <c r="G19" s="9">
        <v>30.86</v>
      </c>
      <c r="H19" s="2" t="s">
        <v>63</v>
      </c>
      <c r="I19" t="s">
        <v>64</v>
      </c>
      <c r="J19">
        <v>1</v>
      </c>
      <c r="K19">
        <v>0</v>
      </c>
      <c r="M19">
        <v>0</v>
      </c>
      <c r="N19">
        <v>0</v>
      </c>
      <c r="O19">
        <v>0</v>
      </c>
      <c r="P19" t="s">
        <v>118</v>
      </c>
      <c r="Q19">
        <v>1</v>
      </c>
      <c r="R19">
        <v>1</v>
      </c>
      <c r="S19">
        <v>0</v>
      </c>
      <c r="T19" t="s">
        <v>42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 s="13">
        <v>0</v>
      </c>
      <c r="AB19">
        <v>0</v>
      </c>
      <c r="AC19">
        <v>0</v>
      </c>
      <c r="AD19">
        <v>1</v>
      </c>
      <c r="AE19">
        <v>1</v>
      </c>
      <c r="AF19" s="29" t="s">
        <v>102</v>
      </c>
      <c r="AG19">
        <v>1</v>
      </c>
      <c r="AH19">
        <v>1</v>
      </c>
      <c r="AI19">
        <v>0</v>
      </c>
      <c r="AJ19" t="s">
        <v>255</v>
      </c>
      <c r="AK19">
        <v>1</v>
      </c>
      <c r="AL19">
        <v>1</v>
      </c>
      <c r="AN19" s="11" t="s">
        <v>80</v>
      </c>
      <c r="AO19" t="s">
        <v>254</v>
      </c>
      <c r="AP19">
        <v>0</v>
      </c>
      <c r="AQ19" s="2">
        <v>45874</v>
      </c>
      <c r="AR19" t="s">
        <v>72</v>
      </c>
      <c r="AV19">
        <v>0</v>
      </c>
      <c r="AW19">
        <v>0</v>
      </c>
      <c r="AY19">
        <v>0</v>
      </c>
      <c r="AZ19">
        <v>0</v>
      </c>
      <c r="BA19">
        <v>750</v>
      </c>
      <c r="BB19">
        <v>50</v>
      </c>
      <c r="BC19">
        <v>770</v>
      </c>
      <c r="BD19" t="s">
        <v>97</v>
      </c>
    </row>
    <row r="20" spans="1:57" x14ac:dyDescent="0.2">
      <c r="A20">
        <v>2020</v>
      </c>
      <c r="B20" s="2">
        <v>44062</v>
      </c>
      <c r="C20" s="2">
        <v>44144</v>
      </c>
      <c r="D20" s="2" t="s">
        <v>253</v>
      </c>
      <c r="E20" s="2">
        <v>17617</v>
      </c>
      <c r="F20" s="9">
        <f t="shared" ca="1" si="0"/>
        <v>77.913888888888891</v>
      </c>
      <c r="G20" s="9">
        <v>26.85</v>
      </c>
      <c r="H20" s="2" t="s">
        <v>63</v>
      </c>
      <c r="I20" t="s">
        <v>64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 t="s">
        <v>256</v>
      </c>
      <c r="R20">
        <v>1</v>
      </c>
      <c r="S20">
        <v>0</v>
      </c>
      <c r="T20" t="s">
        <v>42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 s="13">
        <v>0</v>
      </c>
      <c r="AB20">
        <v>0</v>
      </c>
      <c r="AC20" t="s">
        <v>263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0</v>
      </c>
      <c r="AJ20" t="s">
        <v>65</v>
      </c>
      <c r="AK20">
        <v>1</v>
      </c>
      <c r="AL20">
        <v>1</v>
      </c>
      <c r="AN20" s="11" t="s">
        <v>258</v>
      </c>
      <c r="AO20" t="s">
        <v>259</v>
      </c>
      <c r="AQ20" s="2">
        <v>45071</v>
      </c>
      <c r="AR20" t="s">
        <v>68</v>
      </c>
      <c r="AS20" t="s">
        <v>260</v>
      </c>
      <c r="AT20" t="s">
        <v>132</v>
      </c>
      <c r="AU20" t="s">
        <v>261</v>
      </c>
      <c r="AV20">
        <v>1</v>
      </c>
      <c r="AW20" s="6" t="s">
        <v>262</v>
      </c>
      <c r="AY20">
        <v>0</v>
      </c>
      <c r="AZ20">
        <v>0</v>
      </c>
      <c r="BA20">
        <v>500</v>
      </c>
      <c r="BB20">
        <v>100</v>
      </c>
      <c r="BC20">
        <v>300</v>
      </c>
      <c r="BD20" t="s">
        <v>97</v>
      </c>
    </row>
    <row r="21" spans="1:57" x14ac:dyDescent="0.2">
      <c r="A21">
        <v>2020</v>
      </c>
      <c r="B21" s="2">
        <v>44125</v>
      </c>
      <c r="C21" s="2">
        <v>44292</v>
      </c>
      <c r="D21" s="5" t="s">
        <v>267</v>
      </c>
      <c r="E21" s="2">
        <v>28642</v>
      </c>
      <c r="F21" s="10">
        <f t="shared" ca="1" si="0"/>
        <v>47.730555555555554</v>
      </c>
      <c r="G21" s="10">
        <v>22.43</v>
      </c>
      <c r="H21" s="5" t="s">
        <v>63</v>
      </c>
      <c r="I21" t="s">
        <v>64</v>
      </c>
      <c r="J21" s="5">
        <v>0</v>
      </c>
      <c r="K21" s="5">
        <v>0</v>
      </c>
      <c r="L21" s="5"/>
      <c r="M21" s="5">
        <v>0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1</v>
      </c>
      <c r="T21" t="s">
        <v>42</v>
      </c>
      <c r="U21">
        <v>0</v>
      </c>
      <c r="V21">
        <v>1</v>
      </c>
      <c r="W21" t="s">
        <v>102</v>
      </c>
      <c r="X21" t="s">
        <v>102</v>
      </c>
      <c r="Y21">
        <v>1</v>
      </c>
      <c r="Z21">
        <v>1</v>
      </c>
      <c r="AA21" s="13">
        <v>0</v>
      </c>
      <c r="AB21">
        <v>1</v>
      </c>
      <c r="AC21">
        <v>1</v>
      </c>
      <c r="AD21">
        <v>1</v>
      </c>
      <c r="AE21">
        <v>1</v>
      </c>
      <c r="AF21" s="29">
        <v>0</v>
      </c>
      <c r="AG21">
        <v>1</v>
      </c>
      <c r="AH21">
        <v>1</v>
      </c>
      <c r="AI21">
        <v>0</v>
      </c>
      <c r="AJ21" t="s">
        <v>65</v>
      </c>
      <c r="AK21">
        <v>2</v>
      </c>
      <c r="AL21">
        <v>1</v>
      </c>
      <c r="AN21" s="11" t="s">
        <v>265</v>
      </c>
      <c r="AO21" t="s">
        <v>264</v>
      </c>
      <c r="AP21">
        <v>0</v>
      </c>
      <c r="AQ21" t="s">
        <v>266</v>
      </c>
      <c r="AR21" t="s">
        <v>72</v>
      </c>
      <c r="AV21">
        <v>0</v>
      </c>
      <c r="AW21">
        <v>0</v>
      </c>
      <c r="AY21">
        <v>0</v>
      </c>
      <c r="AZ21">
        <v>0</v>
      </c>
      <c r="BA21">
        <v>450</v>
      </c>
      <c r="BB21">
        <v>150</v>
      </c>
      <c r="BC21">
        <v>485</v>
      </c>
      <c r="BD21" t="s">
        <v>97</v>
      </c>
    </row>
    <row r="22" spans="1:57" x14ac:dyDescent="0.2">
      <c r="A22">
        <v>2020</v>
      </c>
      <c r="B22" s="2">
        <v>44069</v>
      </c>
      <c r="C22" s="2">
        <v>44258</v>
      </c>
      <c r="D22" s="2" t="s">
        <v>270</v>
      </c>
      <c r="E22" s="2">
        <v>16837</v>
      </c>
      <c r="F22" s="9">
        <f t="shared" ca="1" si="0"/>
        <v>80.055555555555557</v>
      </c>
      <c r="G22" s="9">
        <v>33.020000000000003</v>
      </c>
      <c r="H22" s="2" t="s">
        <v>63</v>
      </c>
      <c r="I22" t="s">
        <v>240</v>
      </c>
      <c r="J22">
        <v>1</v>
      </c>
      <c r="K22" t="s">
        <v>268</v>
      </c>
      <c r="L22">
        <v>6.9</v>
      </c>
      <c r="M22">
        <v>1</v>
      </c>
      <c r="N22">
        <v>0</v>
      </c>
      <c r="O22">
        <v>0</v>
      </c>
      <c r="P22" t="s">
        <v>118</v>
      </c>
      <c r="Q22">
        <v>1</v>
      </c>
      <c r="R22">
        <v>1</v>
      </c>
      <c r="S22">
        <v>0</v>
      </c>
      <c r="T22" t="s">
        <v>42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 s="13">
        <v>0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 t="s">
        <v>269</v>
      </c>
      <c r="AK22">
        <v>1</v>
      </c>
      <c r="AL22">
        <v>1</v>
      </c>
      <c r="AN22" s="12" t="s">
        <v>215</v>
      </c>
      <c r="AO22" t="s">
        <v>257</v>
      </c>
      <c r="AP22">
        <v>0</v>
      </c>
      <c r="AQ22" s="2">
        <v>45993</v>
      </c>
      <c r="AR22" t="s">
        <v>72</v>
      </c>
      <c r="AS22" t="s">
        <v>271</v>
      </c>
      <c r="AV22">
        <v>0</v>
      </c>
      <c r="AW22">
        <v>0</v>
      </c>
      <c r="AY22">
        <v>0</v>
      </c>
      <c r="AZ22">
        <v>0</v>
      </c>
      <c r="BA22">
        <v>650</v>
      </c>
      <c r="BB22">
        <v>200</v>
      </c>
      <c r="BC22">
        <v>560</v>
      </c>
      <c r="BD22" t="s">
        <v>97</v>
      </c>
    </row>
    <row r="23" spans="1:57" x14ac:dyDescent="0.2">
      <c r="A23" t="s">
        <v>144</v>
      </c>
      <c r="B23" s="2">
        <v>44113</v>
      </c>
      <c r="C23" s="2">
        <v>44167</v>
      </c>
      <c r="D23" s="2" t="s">
        <v>273</v>
      </c>
      <c r="E23" s="2">
        <v>27665</v>
      </c>
      <c r="F23" s="9">
        <f t="shared" ca="1" si="0"/>
        <v>50.405555555555559</v>
      </c>
      <c r="G23" s="9">
        <v>18.989999999999998</v>
      </c>
      <c r="H23" s="2" t="s">
        <v>63</v>
      </c>
      <c r="I23" t="s">
        <v>64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 t="s">
        <v>42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 s="13">
        <v>0</v>
      </c>
      <c r="AB23">
        <v>0</v>
      </c>
      <c r="AC23">
        <v>0</v>
      </c>
      <c r="AD23">
        <v>1</v>
      </c>
      <c r="AE23">
        <v>0</v>
      </c>
      <c r="AF23" s="29">
        <v>0</v>
      </c>
      <c r="AG23" t="s">
        <v>144</v>
      </c>
      <c r="AH23" t="s">
        <v>144</v>
      </c>
      <c r="AI23" t="s">
        <v>144</v>
      </c>
      <c r="AJ23" t="s">
        <v>144</v>
      </c>
      <c r="AK23">
        <v>2</v>
      </c>
      <c r="AL23" s="24" t="s">
        <v>144</v>
      </c>
      <c r="AM23" s="24" t="s">
        <v>144</v>
      </c>
      <c r="AN23" s="24" t="s">
        <v>144</v>
      </c>
      <c r="AO23" s="24" t="s">
        <v>144</v>
      </c>
      <c r="AP23">
        <v>0</v>
      </c>
      <c r="AQ23" s="2">
        <v>45106</v>
      </c>
      <c r="AR23" t="s">
        <v>68</v>
      </c>
      <c r="AS23" t="s">
        <v>85</v>
      </c>
      <c r="AT23" t="s">
        <v>272</v>
      </c>
      <c r="AV23">
        <v>0</v>
      </c>
      <c r="AW23">
        <v>1</v>
      </c>
      <c r="AX23" t="s">
        <v>274</v>
      </c>
      <c r="AY23">
        <v>0</v>
      </c>
      <c r="AZ23">
        <v>0</v>
      </c>
      <c r="BA23">
        <v>275</v>
      </c>
      <c r="BB23">
        <v>100</v>
      </c>
      <c r="BC23">
        <v>275</v>
      </c>
      <c r="BD23" t="s">
        <v>97</v>
      </c>
    </row>
    <row r="24" spans="1:57" x14ac:dyDescent="0.2">
      <c r="A24" t="s">
        <v>144</v>
      </c>
      <c r="B24" s="2">
        <v>44148</v>
      </c>
      <c r="C24" s="2">
        <v>44217</v>
      </c>
      <c r="D24" s="2" t="s">
        <v>275</v>
      </c>
      <c r="E24" s="2">
        <v>34886</v>
      </c>
      <c r="F24" s="9">
        <f t="shared" ca="1" si="0"/>
        <v>30.633333333333333</v>
      </c>
      <c r="G24" s="9">
        <v>22.5</v>
      </c>
      <c r="H24" s="2" t="s">
        <v>63</v>
      </c>
      <c r="I24" t="s">
        <v>64</v>
      </c>
      <c r="J24">
        <v>0</v>
      </c>
      <c r="K24">
        <v>0</v>
      </c>
      <c r="M24">
        <v>0</v>
      </c>
      <c r="N24">
        <v>0</v>
      </c>
      <c r="O24">
        <v>0</v>
      </c>
      <c r="P24" t="s">
        <v>118</v>
      </c>
      <c r="Q24">
        <v>1</v>
      </c>
      <c r="R24">
        <v>1</v>
      </c>
      <c r="S24">
        <v>0</v>
      </c>
      <c r="T24" t="s">
        <v>42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 s="13">
        <v>0</v>
      </c>
      <c r="AB24">
        <v>0</v>
      </c>
      <c r="AC24">
        <v>0</v>
      </c>
      <c r="AD24">
        <v>1</v>
      </c>
      <c r="AE24" s="24">
        <v>0</v>
      </c>
      <c r="AF24" s="24">
        <v>0</v>
      </c>
      <c r="AG24" s="24" t="s">
        <v>144</v>
      </c>
      <c r="AH24" s="24" t="s">
        <v>144</v>
      </c>
      <c r="AI24" s="24" t="s">
        <v>144</v>
      </c>
      <c r="AJ24" s="24" t="s">
        <v>144</v>
      </c>
      <c r="AK24">
        <v>2</v>
      </c>
      <c r="AL24" s="24" t="s">
        <v>144</v>
      </c>
      <c r="AM24" s="24" t="s">
        <v>144</v>
      </c>
      <c r="AN24" s="24" t="s">
        <v>144</v>
      </c>
      <c r="AO24" s="24" t="s">
        <v>144</v>
      </c>
      <c r="AP24">
        <v>0</v>
      </c>
      <c r="AQ24" s="2">
        <v>44580</v>
      </c>
      <c r="AR24" t="s">
        <v>72</v>
      </c>
      <c r="AV24">
        <v>0</v>
      </c>
      <c r="AW24">
        <v>0</v>
      </c>
      <c r="AY24">
        <v>0</v>
      </c>
      <c r="AZ24">
        <v>0</v>
      </c>
      <c r="BA24">
        <v>300</v>
      </c>
      <c r="BB24">
        <v>0</v>
      </c>
      <c r="BC24">
        <v>310</v>
      </c>
      <c r="BD24" t="s">
        <v>97</v>
      </c>
    </row>
    <row r="25" spans="1:57" x14ac:dyDescent="0.2">
      <c r="A25">
        <v>2020</v>
      </c>
      <c r="B25" s="2">
        <v>44090</v>
      </c>
      <c r="C25" s="2">
        <v>44202</v>
      </c>
      <c r="D25" s="2" t="s">
        <v>152</v>
      </c>
      <c r="E25" s="2">
        <v>28867</v>
      </c>
      <c r="F25" s="9">
        <f t="shared" ca="1" si="0"/>
        <v>47.116666666666667</v>
      </c>
      <c r="G25" s="9">
        <v>26</v>
      </c>
      <c r="H25" s="2" t="s">
        <v>63</v>
      </c>
      <c r="I25" t="s">
        <v>64</v>
      </c>
      <c r="J25">
        <v>0</v>
      </c>
      <c r="K25">
        <v>0</v>
      </c>
      <c r="M25">
        <v>0</v>
      </c>
      <c r="N25">
        <v>0</v>
      </c>
      <c r="O25">
        <v>0</v>
      </c>
      <c r="P25" t="s">
        <v>118</v>
      </c>
      <c r="Q25">
        <v>1</v>
      </c>
      <c r="R25">
        <v>1</v>
      </c>
      <c r="S25">
        <v>0</v>
      </c>
      <c r="T25" t="s">
        <v>42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 s="13">
        <v>0</v>
      </c>
      <c r="AB25">
        <v>0</v>
      </c>
      <c r="AC25">
        <v>1</v>
      </c>
      <c r="AD25">
        <v>1</v>
      </c>
      <c r="AE25">
        <v>1</v>
      </c>
      <c r="AF25" s="30">
        <v>0</v>
      </c>
      <c r="AG25">
        <v>1</v>
      </c>
      <c r="AH25">
        <v>1</v>
      </c>
      <c r="AI25">
        <v>0</v>
      </c>
      <c r="AJ25" t="s">
        <v>106</v>
      </c>
      <c r="AK25">
        <v>2</v>
      </c>
      <c r="AL25">
        <v>0</v>
      </c>
      <c r="AM25" s="11" t="s">
        <v>277</v>
      </c>
      <c r="AN25" t="s">
        <v>278</v>
      </c>
      <c r="AO25" t="s">
        <v>276</v>
      </c>
      <c r="AP25">
        <v>0</v>
      </c>
      <c r="AQ25" s="2">
        <v>45972</v>
      </c>
      <c r="AR25" t="s">
        <v>72</v>
      </c>
      <c r="AS25" t="s">
        <v>279</v>
      </c>
      <c r="AV25">
        <v>0</v>
      </c>
      <c r="AW25">
        <v>0</v>
      </c>
      <c r="AY25">
        <v>0</v>
      </c>
      <c r="AZ25">
        <v>0</v>
      </c>
      <c r="BA25">
        <v>600</v>
      </c>
      <c r="BB25">
        <v>200</v>
      </c>
      <c r="BC25">
        <v>605</v>
      </c>
      <c r="BD25" t="s">
        <v>97</v>
      </c>
    </row>
    <row r="26" spans="1:57" x14ac:dyDescent="0.2">
      <c r="A26">
        <v>2020</v>
      </c>
      <c r="B26" s="2">
        <v>44106</v>
      </c>
      <c r="C26" s="2">
        <v>44344</v>
      </c>
      <c r="D26" s="2" t="s">
        <v>283</v>
      </c>
      <c r="E26" s="2">
        <v>23180</v>
      </c>
      <c r="F26" s="9">
        <f t="shared" ca="1" si="0"/>
        <v>62.68333333333333</v>
      </c>
      <c r="G26" s="9">
        <v>28.15</v>
      </c>
      <c r="H26" s="2" t="s">
        <v>63</v>
      </c>
      <c r="I26" t="s">
        <v>64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 t="s">
        <v>42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 s="13">
        <v>0</v>
      </c>
      <c r="AB26">
        <v>1</v>
      </c>
      <c r="AC26">
        <v>1</v>
      </c>
      <c r="AD26">
        <v>1</v>
      </c>
      <c r="AE26">
        <v>1</v>
      </c>
      <c r="AF26" s="6">
        <v>1</v>
      </c>
      <c r="AG26">
        <v>1</v>
      </c>
      <c r="AH26">
        <v>0</v>
      </c>
      <c r="AI26">
        <v>0</v>
      </c>
      <c r="AJ26" t="s">
        <v>120</v>
      </c>
      <c r="AK26">
        <v>2</v>
      </c>
      <c r="AL26">
        <v>0</v>
      </c>
      <c r="AM26" s="11" t="s">
        <v>285</v>
      </c>
      <c r="AN26" t="s">
        <v>286</v>
      </c>
      <c r="AO26" t="s">
        <v>284</v>
      </c>
      <c r="AP26">
        <v>0</v>
      </c>
      <c r="AQ26" s="2">
        <v>45397</v>
      </c>
      <c r="AR26" t="s">
        <v>68</v>
      </c>
      <c r="AS26" t="s">
        <v>282</v>
      </c>
      <c r="AV26">
        <v>0</v>
      </c>
      <c r="AW26">
        <v>1</v>
      </c>
      <c r="AX26" t="s">
        <v>281</v>
      </c>
      <c r="AY26">
        <v>1</v>
      </c>
      <c r="AZ26" t="s">
        <v>280</v>
      </c>
      <c r="BA26">
        <v>750</v>
      </c>
      <c r="BB26">
        <v>200</v>
      </c>
      <c r="BC26">
        <v>605</v>
      </c>
      <c r="BD26" t="s">
        <v>97</v>
      </c>
    </row>
    <row r="27" spans="1:57" x14ac:dyDescent="0.2">
      <c r="A27">
        <v>2020</v>
      </c>
      <c r="B27" s="2">
        <v>44092</v>
      </c>
      <c r="C27" s="2">
        <v>44404</v>
      </c>
      <c r="D27" s="2" t="s">
        <v>129</v>
      </c>
      <c r="E27" s="2">
        <v>15710</v>
      </c>
      <c r="F27" s="9">
        <f t="shared" ca="1" si="0"/>
        <v>83.138888888888886</v>
      </c>
      <c r="G27" s="9">
        <v>22.67</v>
      </c>
      <c r="H27" s="2" t="s">
        <v>63</v>
      </c>
      <c r="I27" t="s">
        <v>64</v>
      </c>
      <c r="J27">
        <v>1</v>
      </c>
      <c r="K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 t="s">
        <v>42</v>
      </c>
      <c r="U27">
        <v>0</v>
      </c>
      <c r="V27">
        <v>1</v>
      </c>
      <c r="W27">
        <v>0</v>
      </c>
      <c r="X27">
        <v>1</v>
      </c>
      <c r="Y27" s="6" t="s">
        <v>288</v>
      </c>
      <c r="Z27">
        <v>1</v>
      </c>
      <c r="AA27" s="13">
        <v>1</v>
      </c>
      <c r="AB27">
        <v>0</v>
      </c>
      <c r="AC27">
        <v>0</v>
      </c>
      <c r="AD27">
        <v>1</v>
      </c>
      <c r="AE27">
        <v>1</v>
      </c>
      <c r="AF27" s="6">
        <v>1</v>
      </c>
      <c r="AG27">
        <v>0</v>
      </c>
      <c r="AH27">
        <v>0</v>
      </c>
      <c r="AI27">
        <v>1</v>
      </c>
      <c r="AJ27" t="s">
        <v>106</v>
      </c>
      <c r="AK27">
        <v>0</v>
      </c>
      <c r="AL27">
        <v>0</v>
      </c>
      <c r="AM27" t="s">
        <v>127</v>
      </c>
      <c r="AN27" s="11" t="s">
        <v>289</v>
      </c>
      <c r="AO27" t="s">
        <v>290</v>
      </c>
      <c r="AQ27" s="2">
        <v>45790</v>
      </c>
      <c r="AR27" t="s">
        <v>72</v>
      </c>
      <c r="AS27" t="s">
        <v>287</v>
      </c>
      <c r="AV27">
        <v>1</v>
      </c>
      <c r="AW27">
        <v>0</v>
      </c>
      <c r="AY27">
        <v>0</v>
      </c>
      <c r="AZ27">
        <v>0</v>
      </c>
      <c r="BA27">
        <v>500</v>
      </c>
      <c r="BB27">
        <v>100</v>
      </c>
      <c r="BC27">
        <v>405</v>
      </c>
      <c r="BD27" t="s">
        <v>97</v>
      </c>
    </row>
    <row r="28" spans="1:57" x14ac:dyDescent="0.2">
      <c r="A28">
        <v>2019</v>
      </c>
      <c r="B28" t="s">
        <v>21</v>
      </c>
      <c r="C28" s="2">
        <v>44244</v>
      </c>
      <c r="D28" s="2" t="s">
        <v>152</v>
      </c>
      <c r="E28" s="2">
        <v>24240</v>
      </c>
      <c r="F28" s="9">
        <f t="shared" ca="1" si="0"/>
        <v>59.780555555555559</v>
      </c>
      <c r="G28" s="9">
        <v>30.61</v>
      </c>
      <c r="H28" s="2" t="s">
        <v>63</v>
      </c>
      <c r="I28" t="s">
        <v>64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 t="s">
        <v>42</v>
      </c>
      <c r="U28">
        <v>0</v>
      </c>
      <c r="V28">
        <v>1</v>
      </c>
      <c r="W28">
        <v>1</v>
      </c>
      <c r="X28">
        <v>0</v>
      </c>
      <c r="Y28">
        <v>1</v>
      </c>
      <c r="Z28">
        <v>0</v>
      </c>
      <c r="AB28">
        <v>0</v>
      </c>
      <c r="AC28">
        <v>1</v>
      </c>
      <c r="AD28">
        <v>1</v>
      </c>
      <c r="AE28">
        <v>1</v>
      </c>
      <c r="AF28" s="30">
        <v>0</v>
      </c>
      <c r="AG28">
        <v>1</v>
      </c>
      <c r="AH28">
        <v>0</v>
      </c>
      <c r="AI28">
        <v>0</v>
      </c>
      <c r="AJ28" t="s">
        <v>65</v>
      </c>
      <c r="AK28">
        <v>2</v>
      </c>
      <c r="AL28">
        <v>0</v>
      </c>
      <c r="AM28" s="11" t="s">
        <v>135</v>
      </c>
      <c r="AN28" s="11" t="s">
        <v>292</v>
      </c>
      <c r="AO28" s="11" t="s">
        <v>293</v>
      </c>
      <c r="AP28">
        <v>0</v>
      </c>
      <c r="AQ28" s="2">
        <v>45054</v>
      </c>
      <c r="AR28" s="11" t="s">
        <v>72</v>
      </c>
      <c r="AS28" s="31" t="s">
        <v>294</v>
      </c>
      <c r="AV28">
        <v>0</v>
      </c>
      <c r="AW28">
        <v>0</v>
      </c>
      <c r="AY28">
        <v>0</v>
      </c>
      <c r="AZ28">
        <v>0</v>
      </c>
      <c r="BA28">
        <v>550</v>
      </c>
      <c r="BB28" t="s">
        <v>291</v>
      </c>
      <c r="BC28">
        <v>400</v>
      </c>
      <c r="BD28" t="s">
        <v>97</v>
      </c>
    </row>
    <row r="29" spans="1:57" x14ac:dyDescent="0.2">
      <c r="A29">
        <v>2020</v>
      </c>
      <c r="B29" s="2">
        <v>44176</v>
      </c>
      <c r="C29" s="2">
        <v>44337</v>
      </c>
      <c r="D29" s="2" t="s">
        <v>117</v>
      </c>
      <c r="E29" s="2">
        <v>27346</v>
      </c>
      <c r="F29" s="9">
        <f t="shared" ca="1" si="0"/>
        <v>51.280555555555559</v>
      </c>
      <c r="G29" s="9">
        <v>26.28</v>
      </c>
      <c r="H29" s="2" t="s">
        <v>63</v>
      </c>
      <c r="I29" t="s">
        <v>64</v>
      </c>
      <c r="J29">
        <v>0</v>
      </c>
      <c r="K29">
        <v>0</v>
      </c>
      <c r="M29">
        <v>0</v>
      </c>
      <c r="N29">
        <v>0</v>
      </c>
      <c r="O29">
        <v>0</v>
      </c>
      <c r="P29" t="s">
        <v>118</v>
      </c>
      <c r="Q29">
        <v>1</v>
      </c>
      <c r="R29">
        <v>1</v>
      </c>
      <c r="S29">
        <v>0</v>
      </c>
      <c r="T29" t="s">
        <v>42</v>
      </c>
      <c r="U29">
        <v>0</v>
      </c>
      <c r="V29">
        <v>1</v>
      </c>
      <c r="W29">
        <v>0</v>
      </c>
      <c r="X29">
        <v>1</v>
      </c>
      <c r="Y29">
        <v>1</v>
      </c>
      <c r="Z29">
        <v>0</v>
      </c>
      <c r="AB29">
        <v>1</v>
      </c>
      <c r="AC29">
        <v>1</v>
      </c>
      <c r="AD29">
        <v>1</v>
      </c>
      <c r="AE29">
        <v>1</v>
      </c>
      <c r="AF29" s="31" t="s">
        <v>296</v>
      </c>
      <c r="AG29">
        <v>1</v>
      </c>
      <c r="AH29">
        <v>1</v>
      </c>
      <c r="AI29">
        <v>0</v>
      </c>
      <c r="AJ29" t="s">
        <v>106</v>
      </c>
      <c r="AK29">
        <v>2</v>
      </c>
      <c r="AL29">
        <v>1</v>
      </c>
      <c r="AM29" s="11" t="s">
        <v>297</v>
      </c>
      <c r="AN29" s="11" t="s">
        <v>299</v>
      </c>
      <c r="AO29" t="s">
        <v>295</v>
      </c>
      <c r="AP29">
        <v>0</v>
      </c>
      <c r="AQ29" s="2">
        <v>44659</v>
      </c>
      <c r="AR29" t="s">
        <v>72</v>
      </c>
      <c r="AS29" t="s">
        <v>298</v>
      </c>
      <c r="AV29">
        <v>1</v>
      </c>
      <c r="AW29">
        <v>0</v>
      </c>
      <c r="AY29">
        <v>0</v>
      </c>
      <c r="AZ29">
        <v>0</v>
      </c>
      <c r="BA29">
        <v>600</v>
      </c>
      <c r="BB29">
        <v>50</v>
      </c>
      <c r="BC29">
        <v>605</v>
      </c>
      <c r="BD29" t="s">
        <v>97</v>
      </c>
    </row>
    <row r="30" spans="1:57" x14ac:dyDescent="0.2">
      <c r="A30">
        <v>2020</v>
      </c>
      <c r="B30" s="2">
        <v>44146</v>
      </c>
      <c r="C30" s="2">
        <v>44355</v>
      </c>
      <c r="D30" s="2" t="s">
        <v>304</v>
      </c>
      <c r="E30" s="2">
        <v>30196</v>
      </c>
      <c r="F30" s="9">
        <f t="shared" ca="1" si="0"/>
        <v>43.477777777777774</v>
      </c>
      <c r="G30" s="9">
        <v>27.84</v>
      </c>
      <c r="H30" s="2" t="s">
        <v>63</v>
      </c>
      <c r="I30" t="s">
        <v>64</v>
      </c>
      <c r="J30">
        <v>0</v>
      </c>
      <c r="K30">
        <v>0</v>
      </c>
      <c r="M30">
        <v>0</v>
      </c>
      <c r="N30">
        <v>0</v>
      </c>
      <c r="O30">
        <v>0</v>
      </c>
      <c r="P30" t="s">
        <v>118</v>
      </c>
      <c r="Q30">
        <v>1</v>
      </c>
      <c r="R30">
        <v>1</v>
      </c>
      <c r="S30">
        <v>0</v>
      </c>
      <c r="T30" t="s">
        <v>305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 t="s">
        <v>65</v>
      </c>
      <c r="AK30">
        <v>2</v>
      </c>
      <c r="AL30">
        <v>0</v>
      </c>
      <c r="AM30" s="11" t="s">
        <v>302</v>
      </c>
      <c r="AN30" s="11" t="s">
        <v>300</v>
      </c>
      <c r="AO30" t="s">
        <v>303</v>
      </c>
      <c r="AP30">
        <v>0</v>
      </c>
      <c r="AQ30" s="2">
        <v>45860</v>
      </c>
      <c r="AR30" t="s">
        <v>68</v>
      </c>
      <c r="AS30" t="s">
        <v>301</v>
      </c>
      <c r="AV30">
        <v>0</v>
      </c>
      <c r="AW30">
        <v>1</v>
      </c>
      <c r="AX30" t="s">
        <v>306</v>
      </c>
      <c r="AY30">
        <v>0</v>
      </c>
      <c r="AZ30">
        <v>0</v>
      </c>
      <c r="BA30">
        <v>750</v>
      </c>
      <c r="BB30">
        <v>50</v>
      </c>
      <c r="BC30">
        <v>800</v>
      </c>
      <c r="BD30" t="s">
        <v>97</v>
      </c>
    </row>
    <row r="31" spans="1:57" x14ac:dyDescent="0.2">
      <c r="A31">
        <v>2020</v>
      </c>
      <c r="B31" s="2">
        <v>44111</v>
      </c>
      <c r="C31" s="2">
        <v>44438</v>
      </c>
      <c r="D31" s="2" t="s">
        <v>152</v>
      </c>
      <c r="E31" s="2">
        <v>30387</v>
      </c>
      <c r="F31" s="9">
        <f t="shared" ca="1" si="0"/>
        <v>42.95</v>
      </c>
      <c r="G31" s="9">
        <v>27.25</v>
      </c>
      <c r="H31" s="2" t="s">
        <v>63</v>
      </c>
      <c r="I31" t="s">
        <v>64</v>
      </c>
      <c r="J31">
        <v>0</v>
      </c>
      <c r="K31">
        <v>0</v>
      </c>
      <c r="M31">
        <v>0</v>
      </c>
      <c r="N31">
        <v>0</v>
      </c>
      <c r="O31">
        <v>0</v>
      </c>
      <c r="P31" t="s">
        <v>118</v>
      </c>
      <c r="Q31">
        <v>1</v>
      </c>
      <c r="R31">
        <v>1</v>
      </c>
      <c r="S31">
        <v>0</v>
      </c>
      <c r="T31" t="s">
        <v>42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 s="13">
        <v>0</v>
      </c>
      <c r="AB31">
        <v>1</v>
      </c>
      <c r="AC31">
        <v>1</v>
      </c>
      <c r="AD31">
        <v>1</v>
      </c>
      <c r="AE31">
        <v>1</v>
      </c>
      <c r="AF31" s="39" t="s">
        <v>502</v>
      </c>
      <c r="AG31">
        <v>1</v>
      </c>
      <c r="AH31">
        <v>1</v>
      </c>
      <c r="AI31">
        <v>0</v>
      </c>
      <c r="AJ31" t="s">
        <v>106</v>
      </c>
      <c r="AK31">
        <v>2</v>
      </c>
      <c r="AL31">
        <v>0</v>
      </c>
      <c r="AM31" s="11" t="s">
        <v>241</v>
      </c>
      <c r="AN31" s="11" t="s">
        <v>500</v>
      </c>
      <c r="AO31" t="s">
        <v>501</v>
      </c>
      <c r="AP31">
        <v>0</v>
      </c>
      <c r="AQ31" s="2">
        <v>45237</v>
      </c>
      <c r="AR31" t="s">
        <v>72</v>
      </c>
      <c r="AV31">
        <v>0</v>
      </c>
      <c r="AW31">
        <v>0</v>
      </c>
      <c r="AY31">
        <v>0</v>
      </c>
      <c r="AZ31">
        <v>0</v>
      </c>
      <c r="BA31" s="6" t="s">
        <v>102</v>
      </c>
      <c r="BB31">
        <v>280</v>
      </c>
      <c r="BC31">
        <v>605</v>
      </c>
      <c r="BD31" t="s">
        <v>97</v>
      </c>
    </row>
    <row r="32" spans="1:57" x14ac:dyDescent="0.2">
      <c r="A32">
        <v>2020</v>
      </c>
      <c r="B32" s="2">
        <v>44183</v>
      </c>
      <c r="C32" s="2">
        <v>44314</v>
      </c>
      <c r="D32" s="2" t="s">
        <v>503</v>
      </c>
      <c r="E32" s="2">
        <v>32971</v>
      </c>
      <c r="F32" s="9">
        <f t="shared" ca="1" si="0"/>
        <v>35.87777777777778</v>
      </c>
      <c r="G32" s="9">
        <v>30.42</v>
      </c>
      <c r="H32" s="2" t="s">
        <v>63</v>
      </c>
      <c r="I32" t="s">
        <v>64</v>
      </c>
      <c r="J32">
        <v>1</v>
      </c>
      <c r="K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1</v>
      </c>
      <c r="S32">
        <v>0</v>
      </c>
      <c r="T32" t="s">
        <v>42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 t="s">
        <v>106</v>
      </c>
      <c r="AK32">
        <v>2</v>
      </c>
      <c r="AL32">
        <v>0</v>
      </c>
      <c r="AM32" s="11" t="s">
        <v>168</v>
      </c>
      <c r="AN32" s="11" t="s">
        <v>505</v>
      </c>
      <c r="AO32" t="s">
        <v>66</v>
      </c>
      <c r="AP32">
        <v>0</v>
      </c>
      <c r="AQ32" s="2">
        <v>45393</v>
      </c>
      <c r="AR32" t="s">
        <v>68</v>
      </c>
      <c r="AS32" t="s">
        <v>504</v>
      </c>
      <c r="AT32" t="s">
        <v>196</v>
      </c>
      <c r="AV32">
        <v>0</v>
      </c>
      <c r="AW32">
        <v>1</v>
      </c>
      <c r="AX32" t="s">
        <v>506</v>
      </c>
      <c r="AY32">
        <v>1</v>
      </c>
      <c r="AZ32">
        <v>1</v>
      </c>
      <c r="BA32">
        <v>750</v>
      </c>
      <c r="BB32">
        <v>300</v>
      </c>
      <c r="BC32">
        <v>640</v>
      </c>
      <c r="BD32" t="s">
        <v>97</v>
      </c>
    </row>
    <row r="33" spans="1:56" x14ac:dyDescent="0.2">
      <c r="A33">
        <v>2020</v>
      </c>
      <c r="B33" s="2">
        <v>44132</v>
      </c>
      <c r="C33" t="s">
        <v>22</v>
      </c>
      <c r="D33" s="5" t="s">
        <v>507</v>
      </c>
      <c r="E33" s="2">
        <v>27822</v>
      </c>
      <c r="F33" s="10">
        <f t="shared" ca="1" si="0"/>
        <v>49.975000000000001</v>
      </c>
      <c r="G33" s="10">
        <v>23.49</v>
      </c>
      <c r="H33" s="5" t="s">
        <v>63</v>
      </c>
      <c r="I33" t="s">
        <v>64</v>
      </c>
      <c r="J33" s="5">
        <v>1</v>
      </c>
      <c r="K33" s="5">
        <v>0</v>
      </c>
      <c r="L33" s="5"/>
      <c r="M33" s="5">
        <v>1</v>
      </c>
      <c r="N33" s="5">
        <v>0</v>
      </c>
      <c r="O33" s="5">
        <v>0</v>
      </c>
      <c r="P33" t="s">
        <v>118</v>
      </c>
      <c r="Q33" s="5">
        <v>1</v>
      </c>
      <c r="R33" s="5">
        <v>1</v>
      </c>
      <c r="S33" s="5">
        <v>0</v>
      </c>
      <c r="T33" t="s">
        <v>305</v>
      </c>
      <c r="U33" s="5">
        <v>0</v>
      </c>
      <c r="V33" s="5">
        <v>1</v>
      </c>
      <c r="W33" s="5">
        <v>1</v>
      </c>
      <c r="X33" s="5">
        <v>0</v>
      </c>
      <c r="Y33" s="5">
        <v>1</v>
      </c>
      <c r="Z33" s="5">
        <v>0</v>
      </c>
      <c r="AA33" s="13">
        <v>0</v>
      </c>
      <c r="AB33" s="5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 t="s">
        <v>106</v>
      </c>
      <c r="AK33">
        <v>1</v>
      </c>
      <c r="AL33">
        <v>1</v>
      </c>
      <c r="AM33" s="11" t="s">
        <v>133</v>
      </c>
      <c r="AN33" s="11" t="s">
        <v>509</v>
      </c>
      <c r="AO33" t="s">
        <v>508</v>
      </c>
      <c r="AP33">
        <v>0</v>
      </c>
      <c r="AQ33" s="2">
        <v>45957</v>
      </c>
      <c r="AR33" t="s">
        <v>68</v>
      </c>
      <c r="AS33" t="s">
        <v>510</v>
      </c>
      <c r="AT33" t="s">
        <v>511</v>
      </c>
      <c r="AV33" t="s">
        <v>513</v>
      </c>
      <c r="AW33">
        <v>1</v>
      </c>
      <c r="AX33" t="s">
        <v>512</v>
      </c>
      <c r="AY33">
        <v>1</v>
      </c>
      <c r="AZ33">
        <v>0</v>
      </c>
      <c r="BA33">
        <v>550</v>
      </c>
      <c r="BB33">
        <v>250</v>
      </c>
      <c r="BC33">
        <v>210</v>
      </c>
      <c r="BD33" t="s">
        <v>97</v>
      </c>
    </row>
    <row r="34" spans="1:56" x14ac:dyDescent="0.2">
      <c r="A34">
        <v>2020</v>
      </c>
      <c r="B34" s="2">
        <v>44167</v>
      </c>
      <c r="C34" s="2">
        <v>44362</v>
      </c>
      <c r="D34" s="2" t="s">
        <v>152</v>
      </c>
      <c r="E34" s="2">
        <v>24744</v>
      </c>
      <c r="F34" s="9">
        <f t="shared" ca="1" si="0"/>
        <v>58.402777777777779</v>
      </c>
      <c r="G34" s="9">
        <v>23.34</v>
      </c>
      <c r="H34" s="2" t="s">
        <v>63</v>
      </c>
      <c r="I34" t="s">
        <v>64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 t="s">
        <v>514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 s="13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 t="s">
        <v>65</v>
      </c>
      <c r="AK34">
        <v>2</v>
      </c>
      <c r="AL34">
        <v>0</v>
      </c>
      <c r="AM34" s="11" t="s">
        <v>133</v>
      </c>
      <c r="AN34" s="11" t="s">
        <v>516</v>
      </c>
      <c r="AO34" t="s">
        <v>515</v>
      </c>
      <c r="AP34">
        <v>0</v>
      </c>
      <c r="AQ34" s="2">
        <v>45308</v>
      </c>
      <c r="AR34" t="s">
        <v>72</v>
      </c>
      <c r="AV34">
        <v>0</v>
      </c>
      <c r="AW34">
        <v>0</v>
      </c>
      <c r="AY34">
        <v>0</v>
      </c>
      <c r="AZ34">
        <v>0</v>
      </c>
      <c r="BA34">
        <v>600</v>
      </c>
      <c r="BB34">
        <v>0</v>
      </c>
      <c r="BC34">
        <v>605</v>
      </c>
      <c r="BD34" t="s">
        <v>97</v>
      </c>
    </row>
    <row r="35" spans="1:56" x14ac:dyDescent="0.2">
      <c r="A35">
        <v>2020</v>
      </c>
      <c r="B35" s="2">
        <v>44139</v>
      </c>
      <c r="C35" s="2">
        <v>44272</v>
      </c>
      <c r="D35" s="2" t="s">
        <v>519</v>
      </c>
      <c r="E35" s="2">
        <v>19942</v>
      </c>
      <c r="F35" s="9">
        <f t="shared" ca="1" si="0"/>
        <v>71.55</v>
      </c>
      <c r="G35" s="9">
        <v>35.53</v>
      </c>
      <c r="H35" s="2" t="s">
        <v>63</v>
      </c>
      <c r="I35" t="s">
        <v>64</v>
      </c>
      <c r="J35">
        <v>1</v>
      </c>
      <c r="K35">
        <v>0</v>
      </c>
      <c r="M35">
        <v>1</v>
      </c>
      <c r="N35">
        <v>1</v>
      </c>
      <c r="O35">
        <v>0</v>
      </c>
      <c r="P35" t="s">
        <v>118</v>
      </c>
      <c r="Q35">
        <v>0</v>
      </c>
      <c r="R35">
        <v>1</v>
      </c>
      <c r="S35">
        <v>0</v>
      </c>
      <c r="T35" t="s">
        <v>42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 s="13">
        <v>0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0</v>
      </c>
      <c r="AJ35" t="s">
        <v>106</v>
      </c>
      <c r="AK35">
        <v>2</v>
      </c>
      <c r="AL35">
        <v>0</v>
      </c>
      <c r="AM35" s="11" t="s">
        <v>517</v>
      </c>
      <c r="AN35" s="11" t="s">
        <v>329</v>
      </c>
      <c r="AO35" s="42" t="s">
        <v>518</v>
      </c>
      <c r="AP35">
        <v>0</v>
      </c>
      <c r="AQ35" s="2">
        <v>44734</v>
      </c>
      <c r="AR35" t="s">
        <v>72</v>
      </c>
      <c r="AS35" s="11" t="s">
        <v>520</v>
      </c>
      <c r="AV35">
        <v>0</v>
      </c>
      <c r="AW35">
        <v>0</v>
      </c>
      <c r="AY35">
        <v>0</v>
      </c>
      <c r="AZ35">
        <v>0</v>
      </c>
      <c r="BA35">
        <v>550</v>
      </c>
      <c r="BB35">
        <v>300</v>
      </c>
      <c r="BC35">
        <v>630</v>
      </c>
      <c r="BD35" t="s">
        <v>97</v>
      </c>
    </row>
    <row r="36" spans="1:56" x14ac:dyDescent="0.2">
      <c r="A36">
        <v>2019</v>
      </c>
      <c r="B36" s="2">
        <v>43749</v>
      </c>
      <c r="C36" s="2">
        <v>44123</v>
      </c>
      <c r="D36" s="2" t="s">
        <v>526</v>
      </c>
      <c r="E36" s="2">
        <v>24627</v>
      </c>
      <c r="G36" s="9">
        <v>19.13</v>
      </c>
      <c r="H36" s="2" t="s">
        <v>63</v>
      </c>
      <c r="I36" t="s">
        <v>64</v>
      </c>
      <c r="J36">
        <v>1</v>
      </c>
      <c r="K36">
        <v>0</v>
      </c>
      <c r="M36">
        <v>1</v>
      </c>
      <c r="N36">
        <v>0</v>
      </c>
      <c r="O36">
        <v>0</v>
      </c>
      <c r="P36" t="s">
        <v>118</v>
      </c>
      <c r="Q36">
        <v>0</v>
      </c>
      <c r="R36">
        <v>0</v>
      </c>
      <c r="S36">
        <v>1</v>
      </c>
      <c r="T36" t="s">
        <v>42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 s="13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0</v>
      </c>
      <c r="AJ36" t="s">
        <v>65</v>
      </c>
      <c r="AK36">
        <v>0</v>
      </c>
      <c r="AL36">
        <v>0</v>
      </c>
      <c r="AN36" s="11" t="s">
        <v>524</v>
      </c>
      <c r="AO36" t="s">
        <v>525</v>
      </c>
      <c r="AP36">
        <v>0</v>
      </c>
      <c r="AQ36" s="2">
        <v>45764</v>
      </c>
      <c r="AR36" t="s">
        <v>68</v>
      </c>
      <c r="AS36" t="s">
        <v>131</v>
      </c>
      <c r="AT36" t="s">
        <v>521</v>
      </c>
      <c r="AU36" t="s">
        <v>523</v>
      </c>
      <c r="AV36">
        <v>1</v>
      </c>
      <c r="AW36">
        <v>1</v>
      </c>
      <c r="AX36" t="s">
        <v>522</v>
      </c>
      <c r="AY36">
        <v>1</v>
      </c>
      <c r="AZ36">
        <v>1</v>
      </c>
      <c r="BA36">
        <v>250</v>
      </c>
      <c r="BB36">
        <v>0</v>
      </c>
      <c r="BC36">
        <v>170</v>
      </c>
      <c r="BD36" t="s">
        <v>97</v>
      </c>
    </row>
    <row r="37" spans="1:56" x14ac:dyDescent="0.2">
      <c r="A37" t="s">
        <v>144</v>
      </c>
      <c r="B37" s="2">
        <v>44239</v>
      </c>
      <c r="C37" s="2">
        <v>44341</v>
      </c>
      <c r="D37" s="2" t="s">
        <v>529</v>
      </c>
      <c r="E37" s="2">
        <v>34042</v>
      </c>
      <c r="G37" s="9">
        <v>23.33</v>
      </c>
      <c r="H37" s="2" t="s">
        <v>63</v>
      </c>
      <c r="I37" t="s">
        <v>64</v>
      </c>
      <c r="J37">
        <v>0</v>
      </c>
      <c r="K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0</v>
      </c>
      <c r="T37" t="s">
        <v>42</v>
      </c>
      <c r="U37">
        <v>1</v>
      </c>
      <c r="V37">
        <v>0</v>
      </c>
      <c r="W37">
        <v>0</v>
      </c>
      <c r="X37">
        <v>0</v>
      </c>
      <c r="Y37" t="s">
        <v>527</v>
      </c>
      <c r="Z37">
        <v>0</v>
      </c>
      <c r="AA37" s="13">
        <v>0</v>
      </c>
      <c r="AB37" s="24" t="s">
        <v>527</v>
      </c>
      <c r="AC37">
        <v>0</v>
      </c>
      <c r="AD37">
        <v>0</v>
      </c>
      <c r="AE37" s="24" t="s">
        <v>144</v>
      </c>
      <c r="AF37" s="24" t="s">
        <v>144</v>
      </c>
      <c r="AG37" s="24" t="s">
        <v>144</v>
      </c>
      <c r="AH37" s="24" t="s">
        <v>144</v>
      </c>
      <c r="AI37" s="24" t="s">
        <v>144</v>
      </c>
      <c r="AJ37" s="24" t="s">
        <v>144</v>
      </c>
      <c r="AK37" s="24">
        <v>2</v>
      </c>
      <c r="AL37" s="24" t="s">
        <v>144</v>
      </c>
      <c r="AM37" s="24" t="s">
        <v>144</v>
      </c>
      <c r="AN37" s="24" t="s">
        <v>144</v>
      </c>
      <c r="AO37" s="24" t="s">
        <v>144</v>
      </c>
      <c r="AP37">
        <v>0</v>
      </c>
      <c r="AQ37" s="2">
        <v>44574</v>
      </c>
      <c r="AR37" s="24" t="s">
        <v>72</v>
      </c>
      <c r="AS37" s="24" t="s">
        <v>528</v>
      </c>
      <c r="AV37">
        <v>0</v>
      </c>
      <c r="AW37">
        <v>0</v>
      </c>
      <c r="AY37">
        <v>0</v>
      </c>
      <c r="AZ37">
        <v>0</v>
      </c>
      <c r="BA37">
        <v>500</v>
      </c>
      <c r="BB37">
        <v>0</v>
      </c>
      <c r="BC37">
        <v>520</v>
      </c>
      <c r="BD37" t="s">
        <v>97</v>
      </c>
    </row>
    <row r="38" spans="1:56" x14ac:dyDescent="0.2">
      <c r="A38">
        <v>2018</v>
      </c>
      <c r="B38" s="2">
        <v>44202</v>
      </c>
      <c r="C38" s="2">
        <v>44405</v>
      </c>
      <c r="D38" s="2" t="s">
        <v>117</v>
      </c>
      <c r="E38" s="2">
        <v>29671</v>
      </c>
      <c r="G38" s="9">
        <v>30.67</v>
      </c>
      <c r="H38" s="2" t="s">
        <v>63</v>
      </c>
      <c r="I38" t="s">
        <v>90</v>
      </c>
      <c r="J38">
        <v>1</v>
      </c>
      <c r="K38" t="s">
        <v>530</v>
      </c>
      <c r="M38">
        <v>1</v>
      </c>
      <c r="N38">
        <v>0</v>
      </c>
      <c r="O38">
        <v>1</v>
      </c>
      <c r="P38">
        <v>0</v>
      </c>
      <c r="Q38">
        <v>1</v>
      </c>
      <c r="R38" s="6" t="s">
        <v>102</v>
      </c>
      <c r="S38" s="6" t="s">
        <v>102</v>
      </c>
      <c r="T38" t="s">
        <v>42</v>
      </c>
      <c r="U38">
        <v>0</v>
      </c>
      <c r="V38">
        <v>1</v>
      </c>
      <c r="W38" s="6">
        <v>1</v>
      </c>
      <c r="X38" s="6">
        <v>1</v>
      </c>
      <c r="Y38">
        <v>1</v>
      </c>
      <c r="Z38">
        <v>1</v>
      </c>
      <c r="AA38" s="13">
        <v>1</v>
      </c>
      <c r="AB38" t="s">
        <v>537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 t="s">
        <v>106</v>
      </c>
      <c r="AK38">
        <v>2</v>
      </c>
      <c r="AL38">
        <v>1</v>
      </c>
      <c r="AN38" s="11" t="s">
        <v>532</v>
      </c>
      <c r="AO38" t="s">
        <v>531</v>
      </c>
      <c r="AP38">
        <v>0</v>
      </c>
      <c r="AQ38" s="2">
        <v>45525</v>
      </c>
      <c r="AR38" t="s">
        <v>68</v>
      </c>
      <c r="AS38" t="s">
        <v>533</v>
      </c>
      <c r="AT38" t="s">
        <v>534</v>
      </c>
      <c r="AU38" t="s">
        <v>535</v>
      </c>
      <c r="AV38">
        <v>1</v>
      </c>
      <c r="AW38">
        <v>1</v>
      </c>
      <c r="AX38" t="s">
        <v>536</v>
      </c>
      <c r="AY38">
        <v>1</v>
      </c>
      <c r="AZ38">
        <v>0</v>
      </c>
      <c r="BA38">
        <v>550</v>
      </c>
      <c r="BB38">
        <v>500</v>
      </c>
      <c r="BC38">
        <v>630</v>
      </c>
      <c r="BD38" t="s">
        <v>97</v>
      </c>
    </row>
    <row r="39" spans="1:56" x14ac:dyDescent="0.2">
      <c r="A39">
        <v>2020</v>
      </c>
      <c r="B39" s="2">
        <v>44246</v>
      </c>
      <c r="C39" s="2">
        <v>44328</v>
      </c>
      <c r="D39" s="2" t="s">
        <v>540</v>
      </c>
      <c r="E39" s="2">
        <v>26098</v>
      </c>
      <c r="G39" s="9">
        <v>25.5</v>
      </c>
      <c r="H39" s="2" t="s">
        <v>63</v>
      </c>
      <c r="I39" t="s">
        <v>64</v>
      </c>
      <c r="J39">
        <v>1</v>
      </c>
      <c r="K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 t="s">
        <v>42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 s="13">
        <v>0</v>
      </c>
      <c r="AB39">
        <v>0</v>
      </c>
      <c r="AC39">
        <v>1</v>
      </c>
      <c r="AD39">
        <v>1</v>
      </c>
      <c r="AE39">
        <v>1</v>
      </c>
      <c r="AG39">
        <v>1</v>
      </c>
      <c r="AH39">
        <v>1</v>
      </c>
      <c r="AI39">
        <v>0</v>
      </c>
      <c r="AJ39" t="s">
        <v>65</v>
      </c>
      <c r="AK39">
        <v>1</v>
      </c>
      <c r="AL39">
        <v>1</v>
      </c>
      <c r="AM39" t="s">
        <v>124</v>
      </c>
      <c r="AN39" s="12" t="s">
        <v>539</v>
      </c>
      <c r="AO39" s="11" t="s">
        <v>538</v>
      </c>
      <c r="AP39">
        <v>0</v>
      </c>
      <c r="AQ39" s="2">
        <v>46048</v>
      </c>
      <c r="AR39" t="s">
        <v>72</v>
      </c>
      <c r="AV39">
        <v>0</v>
      </c>
      <c r="AW39">
        <v>0</v>
      </c>
      <c r="AY39">
        <v>0</v>
      </c>
      <c r="AZ39">
        <v>0</v>
      </c>
      <c r="BA39">
        <v>275</v>
      </c>
      <c r="BB39">
        <v>200</v>
      </c>
      <c r="BC39">
        <v>405</v>
      </c>
      <c r="BD39" t="s">
        <v>97</v>
      </c>
    </row>
    <row r="40" spans="1:56" x14ac:dyDescent="0.2">
      <c r="A40">
        <v>2020</v>
      </c>
      <c r="B40" s="2">
        <v>44307</v>
      </c>
      <c r="C40" s="2">
        <v>44404</v>
      </c>
      <c r="D40" s="2" t="s">
        <v>117</v>
      </c>
      <c r="E40" s="2">
        <v>29671</v>
      </c>
      <c r="G40" s="9">
        <v>22.67</v>
      </c>
      <c r="H40" s="2" t="s">
        <v>63</v>
      </c>
      <c r="I40" t="s">
        <v>541</v>
      </c>
      <c r="J40">
        <v>0</v>
      </c>
      <c r="K40" t="s">
        <v>530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 t="s">
        <v>42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 s="13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 t="s">
        <v>106</v>
      </c>
      <c r="AK40">
        <v>2</v>
      </c>
      <c r="AL40">
        <v>1</v>
      </c>
      <c r="AM40" s="11" t="s">
        <v>543</v>
      </c>
      <c r="AN40" s="11" t="s">
        <v>532</v>
      </c>
      <c r="AO40" t="s">
        <v>144</v>
      </c>
      <c r="AP40">
        <v>0</v>
      </c>
      <c r="AQ40" s="2">
        <v>45230</v>
      </c>
      <c r="AR40" t="s">
        <v>72</v>
      </c>
      <c r="AS40" t="s">
        <v>542</v>
      </c>
      <c r="AV40">
        <v>0</v>
      </c>
      <c r="AW40">
        <v>0</v>
      </c>
      <c r="AY40">
        <v>0</v>
      </c>
      <c r="AZ40">
        <v>0</v>
      </c>
      <c r="BA40" s="29" t="s">
        <v>102</v>
      </c>
      <c r="BB40">
        <v>150</v>
      </c>
      <c r="BC40">
        <v>345</v>
      </c>
      <c r="BD40" t="s">
        <v>97</v>
      </c>
    </row>
    <row r="41" spans="1:56" x14ac:dyDescent="0.2">
      <c r="A41">
        <v>2021</v>
      </c>
      <c r="B41" s="2">
        <v>44265</v>
      </c>
      <c r="C41" s="2">
        <v>44433</v>
      </c>
      <c r="D41" s="2" t="s">
        <v>546</v>
      </c>
      <c r="E41" s="2">
        <v>25741</v>
      </c>
      <c r="G41" s="9">
        <v>26.4</v>
      </c>
      <c r="H41" s="2" t="s">
        <v>63</v>
      </c>
      <c r="I41" t="s">
        <v>64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 t="s">
        <v>42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0</v>
      </c>
      <c r="AJ41" t="s">
        <v>255</v>
      </c>
      <c r="AK41">
        <v>2</v>
      </c>
      <c r="AL41">
        <v>1</v>
      </c>
      <c r="AM41" s="11" t="s">
        <v>547</v>
      </c>
      <c r="AN41" s="11" t="s">
        <v>545</v>
      </c>
      <c r="AO41" t="s">
        <v>544</v>
      </c>
      <c r="AP41">
        <v>0</v>
      </c>
      <c r="AQ41" s="2">
        <v>45982</v>
      </c>
      <c r="AR41" t="s">
        <v>72</v>
      </c>
      <c r="AS41" t="s">
        <v>542</v>
      </c>
      <c r="AV41">
        <v>0</v>
      </c>
      <c r="AW41">
        <v>1</v>
      </c>
      <c r="AX41" t="s">
        <v>548</v>
      </c>
      <c r="AY41">
        <v>1</v>
      </c>
      <c r="AZ41">
        <v>1</v>
      </c>
      <c r="BA41" t="s">
        <v>102</v>
      </c>
      <c r="BB41">
        <v>200</v>
      </c>
      <c r="BC41">
        <v>465</v>
      </c>
      <c r="BD41" t="s">
        <v>97</v>
      </c>
    </row>
    <row r="42" spans="1:56" x14ac:dyDescent="0.2">
      <c r="A42">
        <v>2020</v>
      </c>
      <c r="B42" s="2">
        <v>44293</v>
      </c>
      <c r="C42" s="2">
        <v>44411</v>
      </c>
      <c r="D42" s="2" t="s">
        <v>464</v>
      </c>
      <c r="E42" s="2">
        <v>16735</v>
      </c>
      <c r="G42" s="9">
        <v>27.34</v>
      </c>
      <c r="H42" s="2" t="s">
        <v>63</v>
      </c>
      <c r="I42" t="s">
        <v>64</v>
      </c>
      <c r="J42">
        <v>1</v>
      </c>
      <c r="K42">
        <v>0</v>
      </c>
      <c r="M42">
        <v>0</v>
      </c>
      <c r="N42">
        <v>1</v>
      </c>
      <c r="O42">
        <v>0</v>
      </c>
      <c r="P42" t="s">
        <v>118</v>
      </c>
      <c r="Q42">
        <v>0</v>
      </c>
      <c r="R42">
        <v>0</v>
      </c>
      <c r="S42">
        <v>1</v>
      </c>
      <c r="T42" t="s">
        <v>42</v>
      </c>
      <c r="U42">
        <v>0</v>
      </c>
      <c r="V42">
        <v>1</v>
      </c>
      <c r="W42" t="s">
        <v>102</v>
      </c>
      <c r="X42" t="s">
        <v>102</v>
      </c>
      <c r="Y42">
        <v>0</v>
      </c>
      <c r="Z42">
        <v>0</v>
      </c>
      <c r="AA42" s="13">
        <v>0</v>
      </c>
      <c r="AB42">
        <v>0</v>
      </c>
      <c r="AC42">
        <v>1</v>
      </c>
      <c r="AD42">
        <v>1</v>
      </c>
      <c r="AE42" t="s">
        <v>551</v>
      </c>
      <c r="AF42" s="6" t="s">
        <v>102</v>
      </c>
      <c r="AG42">
        <v>1</v>
      </c>
      <c r="AH42">
        <v>1</v>
      </c>
      <c r="AI42">
        <v>0</v>
      </c>
      <c r="AJ42" t="s">
        <v>106</v>
      </c>
      <c r="AK42">
        <v>1</v>
      </c>
      <c r="AL42">
        <v>1</v>
      </c>
      <c r="AN42" s="12" t="s">
        <v>550</v>
      </c>
      <c r="AO42" t="s">
        <v>552</v>
      </c>
      <c r="AP42">
        <v>0</v>
      </c>
      <c r="AQ42" s="2">
        <v>45608</v>
      </c>
      <c r="AR42" t="s">
        <v>72</v>
      </c>
      <c r="AS42" t="s">
        <v>553</v>
      </c>
      <c r="AV42">
        <v>0</v>
      </c>
      <c r="AW42">
        <v>1</v>
      </c>
      <c r="AX42" t="s">
        <v>549</v>
      </c>
      <c r="AY42">
        <v>1</v>
      </c>
      <c r="AZ42">
        <v>1</v>
      </c>
      <c r="BA42">
        <v>400</v>
      </c>
      <c r="BB42">
        <v>150</v>
      </c>
      <c r="BC42">
        <v>240</v>
      </c>
      <c r="BD42" t="s">
        <v>97</v>
      </c>
    </row>
    <row r="43" spans="1:56" x14ac:dyDescent="0.2">
      <c r="A43">
        <v>2020</v>
      </c>
      <c r="B43" s="2">
        <v>44344</v>
      </c>
      <c r="C43" s="2">
        <v>44440</v>
      </c>
      <c r="D43" s="2" t="s">
        <v>152</v>
      </c>
      <c r="E43" s="2">
        <v>27935</v>
      </c>
      <c r="G43" s="9">
        <v>21.92</v>
      </c>
      <c r="H43" s="2" t="s">
        <v>63</v>
      </c>
      <c r="I43" t="s">
        <v>64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 t="s">
        <v>42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 s="13" t="s">
        <v>554</v>
      </c>
      <c r="AB43">
        <v>0</v>
      </c>
      <c r="AC43" t="s">
        <v>558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 t="s">
        <v>106</v>
      </c>
      <c r="AK43">
        <v>2</v>
      </c>
      <c r="AL43">
        <v>0</v>
      </c>
      <c r="AM43" s="11" t="s">
        <v>556</v>
      </c>
      <c r="AN43" s="11" t="s">
        <v>555</v>
      </c>
      <c r="AO43" t="s">
        <v>88</v>
      </c>
      <c r="AP43">
        <v>0</v>
      </c>
      <c r="AQ43" s="2">
        <v>45964</v>
      </c>
      <c r="AR43" t="s">
        <v>72</v>
      </c>
      <c r="AS43" t="s">
        <v>557</v>
      </c>
      <c r="AV43">
        <v>0</v>
      </c>
      <c r="AW43">
        <v>1</v>
      </c>
      <c r="AX43" t="s">
        <v>559</v>
      </c>
      <c r="AY43">
        <v>1</v>
      </c>
      <c r="AZ43">
        <v>1</v>
      </c>
      <c r="BA43">
        <v>300</v>
      </c>
      <c r="BB43">
        <v>50</v>
      </c>
      <c r="BC43">
        <v>345</v>
      </c>
      <c r="BD43" t="s">
        <v>97</v>
      </c>
    </row>
    <row r="44" spans="1:56" x14ac:dyDescent="0.2">
      <c r="A44">
        <v>2020</v>
      </c>
      <c r="B44" s="2">
        <v>44314</v>
      </c>
      <c r="C44" s="2">
        <v>44460</v>
      </c>
      <c r="D44" s="2" t="s">
        <v>117</v>
      </c>
      <c r="E44" s="2">
        <v>23351</v>
      </c>
      <c r="G44" s="9">
        <v>28.56</v>
      </c>
      <c r="H44" s="2" t="s">
        <v>63</v>
      </c>
      <c r="I44" t="s">
        <v>64</v>
      </c>
      <c r="J44">
        <v>1</v>
      </c>
      <c r="K44">
        <v>0</v>
      </c>
      <c r="M44">
        <v>1</v>
      </c>
      <c r="N44">
        <v>1</v>
      </c>
      <c r="O44">
        <v>0</v>
      </c>
      <c r="P44" t="s">
        <v>118</v>
      </c>
      <c r="Q44" t="s">
        <v>226</v>
      </c>
      <c r="R44">
        <v>1</v>
      </c>
      <c r="S44">
        <v>0</v>
      </c>
      <c r="T44" t="s">
        <v>42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 s="13">
        <v>0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0</v>
      </c>
      <c r="AJ44" t="s">
        <v>65</v>
      </c>
      <c r="AK44">
        <v>2</v>
      </c>
      <c r="AL44">
        <v>1</v>
      </c>
      <c r="AN44" s="11" t="s">
        <v>563</v>
      </c>
      <c r="AO44" t="s">
        <v>562</v>
      </c>
      <c r="AP44">
        <v>0</v>
      </c>
      <c r="AQ44" s="2">
        <v>44736</v>
      </c>
      <c r="AR44" t="s">
        <v>72</v>
      </c>
      <c r="AS44" t="s">
        <v>560</v>
      </c>
      <c r="AV44">
        <v>0</v>
      </c>
      <c r="AW44">
        <v>1</v>
      </c>
      <c r="AX44" t="s">
        <v>561</v>
      </c>
      <c r="AY44">
        <v>0</v>
      </c>
      <c r="AZ44">
        <v>0</v>
      </c>
      <c r="BA44">
        <v>600</v>
      </c>
      <c r="BB44">
        <v>200</v>
      </c>
      <c r="BC44">
        <v>605</v>
      </c>
      <c r="BD44" t="s">
        <v>97</v>
      </c>
    </row>
    <row r="45" spans="1:56" x14ac:dyDescent="0.2">
      <c r="A45">
        <v>2020</v>
      </c>
      <c r="B45" s="2">
        <v>44316</v>
      </c>
      <c r="C45" s="2">
        <v>44854</v>
      </c>
      <c r="D45" s="2" t="s">
        <v>464</v>
      </c>
      <c r="E45" s="2">
        <v>27179</v>
      </c>
      <c r="G45" s="9">
        <v>32.299999999999997</v>
      </c>
      <c r="H45" s="2" t="s">
        <v>63</v>
      </c>
      <c r="I45" t="s">
        <v>90</v>
      </c>
      <c r="J45">
        <v>1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305</v>
      </c>
      <c r="U45">
        <v>0</v>
      </c>
      <c r="V45">
        <v>1</v>
      </c>
      <c r="W45">
        <v>1</v>
      </c>
      <c r="X45">
        <v>0</v>
      </c>
      <c r="Y45">
        <v>1</v>
      </c>
      <c r="Z45">
        <v>1</v>
      </c>
      <c r="AA45" s="13" t="s">
        <v>102</v>
      </c>
      <c r="AB45">
        <v>1</v>
      </c>
      <c r="AC45">
        <v>1</v>
      </c>
      <c r="AD45">
        <v>1</v>
      </c>
      <c r="AE45">
        <v>1</v>
      </c>
      <c r="AF45" s="6" t="s">
        <v>102</v>
      </c>
      <c r="AG45">
        <v>1</v>
      </c>
      <c r="AH45">
        <v>1</v>
      </c>
      <c r="AI45">
        <v>0</v>
      </c>
      <c r="AJ45" t="s">
        <v>106</v>
      </c>
      <c r="AK45">
        <v>1</v>
      </c>
      <c r="AL45">
        <v>1</v>
      </c>
      <c r="AN45" s="11" t="s">
        <v>564</v>
      </c>
      <c r="AO45" s="11" t="s">
        <v>565</v>
      </c>
      <c r="AP45">
        <v>0</v>
      </c>
      <c r="AQ45" s="2">
        <v>44904</v>
      </c>
      <c r="AR45" t="s">
        <v>72</v>
      </c>
      <c r="AS45" t="s">
        <v>566</v>
      </c>
      <c r="AV45">
        <v>0</v>
      </c>
      <c r="AW45">
        <v>0</v>
      </c>
      <c r="AY45">
        <v>0</v>
      </c>
      <c r="AZ45">
        <v>0</v>
      </c>
      <c r="BA45" t="s">
        <v>102</v>
      </c>
      <c r="BB45">
        <v>300</v>
      </c>
      <c r="BC45">
        <v>560</v>
      </c>
      <c r="BD45" t="s">
        <v>97</v>
      </c>
    </row>
    <row r="46" spans="1:56" x14ac:dyDescent="0.2">
      <c r="A46">
        <v>2019</v>
      </c>
      <c r="B46" s="2">
        <v>43829</v>
      </c>
      <c r="C46" s="2">
        <v>44330</v>
      </c>
      <c r="D46" s="2" t="s">
        <v>152</v>
      </c>
      <c r="E46" s="2">
        <v>31599</v>
      </c>
      <c r="G46" s="9">
        <v>26.45</v>
      </c>
      <c r="H46" s="2" t="s">
        <v>63</v>
      </c>
      <c r="I46" t="s">
        <v>567</v>
      </c>
      <c r="J46">
        <v>0</v>
      </c>
      <c r="K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 t="s">
        <v>305</v>
      </c>
      <c r="U46">
        <v>1</v>
      </c>
      <c r="V46">
        <v>0</v>
      </c>
      <c r="W46">
        <v>0</v>
      </c>
      <c r="X46">
        <v>0</v>
      </c>
      <c r="Y46">
        <v>1</v>
      </c>
      <c r="Z46">
        <v>1</v>
      </c>
      <c r="AA46" s="13" t="s">
        <v>569</v>
      </c>
      <c r="AB46">
        <v>1</v>
      </c>
      <c r="AC46">
        <v>1</v>
      </c>
      <c r="AD46">
        <v>1</v>
      </c>
      <c r="AE46">
        <v>1</v>
      </c>
      <c r="AF46" s="6" t="s">
        <v>570</v>
      </c>
      <c r="AG46">
        <v>1</v>
      </c>
      <c r="AH46">
        <v>1</v>
      </c>
      <c r="AI46">
        <v>1</v>
      </c>
      <c r="AJ46" t="s">
        <v>65</v>
      </c>
      <c r="AK46">
        <v>2</v>
      </c>
      <c r="AL46">
        <v>0</v>
      </c>
      <c r="AM46" s="11" t="s">
        <v>175</v>
      </c>
      <c r="AN46" s="11" t="s">
        <v>568</v>
      </c>
      <c r="AO46" s="11" t="s">
        <v>572</v>
      </c>
      <c r="AP46">
        <v>0</v>
      </c>
      <c r="AQ46" s="2">
        <v>44427</v>
      </c>
      <c r="AR46" t="s">
        <v>68</v>
      </c>
      <c r="AS46" t="s">
        <v>571</v>
      </c>
      <c r="AT46" t="s">
        <v>405</v>
      </c>
      <c r="AV46">
        <v>1</v>
      </c>
      <c r="AW46">
        <v>1</v>
      </c>
      <c r="AX46" t="s">
        <v>573</v>
      </c>
      <c r="AY46">
        <v>1</v>
      </c>
      <c r="AZ46">
        <v>0</v>
      </c>
      <c r="BA46">
        <v>450</v>
      </c>
      <c r="BB46">
        <v>100</v>
      </c>
      <c r="BC46">
        <v>485</v>
      </c>
      <c r="BD46" t="s">
        <v>97</v>
      </c>
    </row>
    <row r="47" spans="1:56" x14ac:dyDescent="0.2">
      <c r="A47">
        <v>2021</v>
      </c>
      <c r="B47" s="2">
        <v>44321</v>
      </c>
      <c r="C47" s="2">
        <v>44536</v>
      </c>
      <c r="D47" s="2" t="s">
        <v>219</v>
      </c>
      <c r="E47" s="2">
        <v>30072</v>
      </c>
      <c r="G47" s="9">
        <v>21.93</v>
      </c>
      <c r="H47" s="2" t="s">
        <v>63</v>
      </c>
      <c r="I47" t="s">
        <v>64</v>
      </c>
      <c r="J47">
        <v>0</v>
      </c>
      <c r="K47">
        <v>0</v>
      </c>
      <c r="M47">
        <v>0</v>
      </c>
      <c r="N47">
        <v>0</v>
      </c>
      <c r="O47">
        <v>0</v>
      </c>
      <c r="P47" t="s">
        <v>118</v>
      </c>
      <c r="Q47">
        <v>0</v>
      </c>
      <c r="R47" t="s">
        <v>102</v>
      </c>
      <c r="S47" t="s">
        <v>102</v>
      </c>
      <c r="T47" t="s">
        <v>42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 s="13">
        <v>0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0</v>
      </c>
      <c r="AJ47" t="s">
        <v>574</v>
      </c>
      <c r="AK47">
        <v>0</v>
      </c>
      <c r="AL47" s="6" t="s">
        <v>575</v>
      </c>
      <c r="AM47" t="s">
        <v>576</v>
      </c>
      <c r="AO47" t="s">
        <v>107</v>
      </c>
      <c r="AP47">
        <v>0</v>
      </c>
      <c r="AQ47" s="2">
        <v>45818</v>
      </c>
      <c r="AR47" t="s">
        <v>72</v>
      </c>
      <c r="AV47">
        <v>0</v>
      </c>
      <c r="AW47">
        <v>0</v>
      </c>
      <c r="AY47">
        <v>0</v>
      </c>
      <c r="AZ47">
        <v>0</v>
      </c>
      <c r="BA47" t="s">
        <v>102</v>
      </c>
      <c r="BB47">
        <v>100</v>
      </c>
      <c r="BC47" t="s">
        <v>102</v>
      </c>
      <c r="BD47" t="s">
        <v>97</v>
      </c>
    </row>
    <row r="48" spans="1:56" x14ac:dyDescent="0.2">
      <c r="B48" s="2">
        <v>44302</v>
      </c>
      <c r="C48" s="2">
        <v>44735</v>
      </c>
      <c r="E48" s="2">
        <v>22647</v>
      </c>
      <c r="G48" s="9">
        <v>24.21</v>
      </c>
      <c r="H48" s="2" t="s">
        <v>63</v>
      </c>
      <c r="I48" t="s">
        <v>64</v>
      </c>
      <c r="J48">
        <v>0</v>
      </c>
      <c r="K48">
        <v>0</v>
      </c>
      <c r="AB48">
        <v>1</v>
      </c>
    </row>
    <row r="49" spans="2:19" x14ac:dyDescent="0.2">
      <c r="B49" s="2">
        <v>44349</v>
      </c>
      <c r="C49" s="2">
        <v>44669</v>
      </c>
      <c r="D49" s="5" t="s">
        <v>23</v>
      </c>
      <c r="E49" s="2">
        <v>18922</v>
      </c>
      <c r="F49" s="10"/>
      <c r="G49" s="10"/>
      <c r="H49" s="5"/>
      <c r="J49" s="5"/>
      <c r="K49" s="5"/>
      <c r="L49" s="5"/>
      <c r="M49" s="5"/>
      <c r="N49" s="5"/>
      <c r="O49" s="5"/>
      <c r="R49" s="5"/>
      <c r="S49" s="5"/>
    </row>
    <row r="50" spans="2:19" x14ac:dyDescent="0.2">
      <c r="B50" s="2">
        <v>44323</v>
      </c>
      <c r="C50" s="2">
        <v>44760</v>
      </c>
    </row>
    <row r="51" spans="2:19" x14ac:dyDescent="0.2">
      <c r="B51" s="2">
        <v>44356</v>
      </c>
      <c r="C51" s="2">
        <v>44463</v>
      </c>
    </row>
    <row r="52" spans="2:19" x14ac:dyDescent="0.2">
      <c r="B52" s="2">
        <v>44344</v>
      </c>
      <c r="C52" s="2">
        <v>44959</v>
      </c>
    </row>
    <row r="53" spans="2:19" x14ac:dyDescent="0.2">
      <c r="B53" s="2">
        <v>44372</v>
      </c>
      <c r="C53" s="2">
        <v>44482</v>
      </c>
    </row>
    <row r="54" spans="2:19" x14ac:dyDescent="0.2">
      <c r="B54" s="2">
        <v>44342</v>
      </c>
      <c r="C54" s="2">
        <v>44438</v>
      </c>
    </row>
    <row r="55" spans="2:19" x14ac:dyDescent="0.2">
      <c r="B55" s="2">
        <v>44568</v>
      </c>
      <c r="C55" s="2">
        <v>44644</v>
      </c>
    </row>
    <row r="56" spans="2:19" x14ac:dyDescent="0.2">
      <c r="B56" s="2">
        <v>44384</v>
      </c>
      <c r="C56" s="2">
        <v>44596</v>
      </c>
    </row>
    <row r="57" spans="2:19" x14ac:dyDescent="0.2">
      <c r="B57" s="2">
        <v>44400</v>
      </c>
      <c r="C57" s="2">
        <v>44670</v>
      </c>
    </row>
    <row r="58" spans="2:19" x14ac:dyDescent="0.2">
      <c r="B58" s="2">
        <v>44398</v>
      </c>
      <c r="C58" s="2">
        <v>44517</v>
      </c>
    </row>
    <row r="59" spans="2:19" x14ac:dyDescent="0.2">
      <c r="B59" s="2">
        <v>44419</v>
      </c>
      <c r="C59" s="2">
        <v>44979</v>
      </c>
    </row>
    <row r="60" spans="2:19" x14ac:dyDescent="0.2">
      <c r="B60" s="2">
        <v>44456</v>
      </c>
      <c r="C60" s="2">
        <v>44666</v>
      </c>
    </row>
    <row r="61" spans="2:19" x14ac:dyDescent="0.2">
      <c r="B61" s="2">
        <v>44477</v>
      </c>
      <c r="C61" s="2">
        <v>44589</v>
      </c>
    </row>
    <row r="62" spans="2:19" x14ac:dyDescent="0.2">
      <c r="B62" s="2">
        <v>44406</v>
      </c>
      <c r="C62" s="2">
        <v>44552</v>
      </c>
    </row>
    <row r="63" spans="2:19" x14ac:dyDescent="0.2">
      <c r="B63" s="2">
        <v>44433</v>
      </c>
      <c r="C63" s="2">
        <v>44545</v>
      </c>
    </row>
    <row r="64" spans="2:19" x14ac:dyDescent="0.2">
      <c r="B64" s="2">
        <v>44440</v>
      </c>
      <c r="C64" s="2">
        <v>44587</v>
      </c>
    </row>
    <row r="65" spans="2:4" x14ac:dyDescent="0.2">
      <c r="B65" s="2">
        <v>44505</v>
      </c>
      <c r="C65" s="2">
        <v>44610</v>
      </c>
    </row>
    <row r="66" spans="2:4" x14ac:dyDescent="0.2">
      <c r="B66" s="2">
        <v>44489</v>
      </c>
      <c r="C66" s="2">
        <v>44754</v>
      </c>
    </row>
    <row r="67" spans="2:4" x14ac:dyDescent="0.2">
      <c r="B67" s="2">
        <v>44491</v>
      </c>
      <c r="C67" s="2">
        <v>44721</v>
      </c>
    </row>
    <row r="68" spans="2:4" x14ac:dyDescent="0.2">
      <c r="B68" s="2">
        <v>44470</v>
      </c>
      <c r="C68" s="2">
        <v>44537</v>
      </c>
    </row>
    <row r="69" spans="2:4" x14ac:dyDescent="0.2">
      <c r="B69" s="2">
        <v>44510</v>
      </c>
      <c r="C69" s="2">
        <v>44683</v>
      </c>
    </row>
    <row r="70" spans="2:4" x14ac:dyDescent="0.2">
      <c r="B70" s="2">
        <v>44503</v>
      </c>
      <c r="C70" s="2">
        <v>44644</v>
      </c>
    </row>
    <row r="71" spans="2:4" x14ac:dyDescent="0.2">
      <c r="B71" s="2">
        <v>44496</v>
      </c>
      <c r="C71" s="2">
        <v>44665</v>
      </c>
    </row>
    <row r="72" spans="2:4" x14ac:dyDescent="0.2">
      <c r="B72" s="2">
        <v>44519</v>
      </c>
      <c r="C72" s="2">
        <v>44670</v>
      </c>
      <c r="D72" t="s">
        <v>25</v>
      </c>
    </row>
    <row r="73" spans="2:4" x14ac:dyDescent="0.2">
      <c r="B73" s="2">
        <v>44547</v>
      </c>
      <c r="C73" s="2">
        <v>44694</v>
      </c>
    </row>
    <row r="74" spans="2:4" x14ac:dyDescent="0.2">
      <c r="B74" s="2">
        <v>44517</v>
      </c>
      <c r="C74" s="2">
        <v>44615</v>
      </c>
    </row>
    <row r="75" spans="2:4" x14ac:dyDescent="0.2">
      <c r="B75" s="2">
        <v>44540</v>
      </c>
      <c r="C75" s="2">
        <v>44798</v>
      </c>
    </row>
    <row r="76" spans="2:4" x14ac:dyDescent="0.2">
      <c r="B76" s="2">
        <v>44533</v>
      </c>
      <c r="C76" s="2">
        <v>45950</v>
      </c>
      <c r="D76" t="s">
        <v>26</v>
      </c>
    </row>
    <row r="77" spans="2:4" x14ac:dyDescent="0.2">
      <c r="B77" s="2">
        <v>44511</v>
      </c>
      <c r="C77" s="2">
        <v>44622</v>
      </c>
    </row>
    <row r="78" spans="2:4" x14ac:dyDescent="0.2">
      <c r="B78" s="2">
        <v>44552</v>
      </c>
      <c r="C78" s="2">
        <v>45093</v>
      </c>
    </row>
    <row r="79" spans="2:4" x14ac:dyDescent="0.2">
      <c r="B79" s="2">
        <v>44552</v>
      </c>
      <c r="C79" s="2">
        <v>44615</v>
      </c>
    </row>
    <row r="80" spans="2:4" x14ac:dyDescent="0.2">
      <c r="B80" s="2">
        <v>44589</v>
      </c>
      <c r="C80" s="2">
        <v>44844</v>
      </c>
    </row>
    <row r="81" spans="2:4" x14ac:dyDescent="0.2">
      <c r="B81" s="2">
        <v>44558</v>
      </c>
      <c r="C81" s="2">
        <v>44875</v>
      </c>
      <c r="D81" t="s">
        <v>27</v>
      </c>
    </row>
    <row r="82" spans="2:4" x14ac:dyDescent="0.2">
      <c r="B82" s="2">
        <v>44456</v>
      </c>
      <c r="C82" s="2">
        <v>44666</v>
      </c>
      <c r="D82" t="s">
        <v>28</v>
      </c>
    </row>
    <row r="83" spans="2:4" x14ac:dyDescent="0.2">
      <c r="B83" s="2">
        <v>44568</v>
      </c>
      <c r="C83" s="2">
        <v>44644</v>
      </c>
    </row>
    <row r="84" spans="2:4" x14ac:dyDescent="0.2">
      <c r="B84" s="2">
        <v>44603</v>
      </c>
      <c r="C84" s="2">
        <v>44748</v>
      </c>
    </row>
    <row r="85" spans="2:4" x14ac:dyDescent="0.2">
      <c r="B85" s="2">
        <v>44657</v>
      </c>
      <c r="C85" s="2">
        <v>44796</v>
      </c>
    </row>
    <row r="86" spans="2:4" x14ac:dyDescent="0.2">
      <c r="B86" s="2">
        <v>44519</v>
      </c>
      <c r="C86" s="2">
        <v>44670</v>
      </c>
      <c r="D86" t="s">
        <v>29</v>
      </c>
    </row>
    <row r="87" spans="2:4" x14ac:dyDescent="0.2">
      <c r="B87" s="2">
        <v>44692</v>
      </c>
      <c r="C87" s="2">
        <v>44812</v>
      </c>
    </row>
    <row r="88" spans="2:4" x14ac:dyDescent="0.2">
      <c r="B88" s="2">
        <v>44491</v>
      </c>
      <c r="C88" s="2">
        <v>44721</v>
      </c>
    </row>
    <row r="89" spans="2:4" x14ac:dyDescent="0.2">
      <c r="B89" s="2">
        <v>44651</v>
      </c>
      <c r="C89" s="2">
        <v>44763</v>
      </c>
    </row>
    <row r="90" spans="2:4" x14ac:dyDescent="0.2">
      <c r="B90" s="2">
        <v>44644</v>
      </c>
      <c r="C90" s="2">
        <v>45233</v>
      </c>
    </row>
    <row r="91" spans="2:4" x14ac:dyDescent="0.2">
      <c r="B91" s="2">
        <v>44664</v>
      </c>
      <c r="C91" s="2">
        <v>44819</v>
      </c>
    </row>
    <row r="92" spans="2:4" x14ac:dyDescent="0.2">
      <c r="B92" s="2">
        <v>44664</v>
      </c>
      <c r="C92" s="2">
        <v>44819</v>
      </c>
    </row>
    <row r="93" spans="2:4" x14ac:dyDescent="0.2">
      <c r="B93" s="2">
        <v>44665</v>
      </c>
      <c r="C93" s="2">
        <v>44935</v>
      </c>
    </row>
    <row r="94" spans="2:4" x14ac:dyDescent="0.2">
      <c r="B94" s="2">
        <v>44664</v>
      </c>
      <c r="C94" s="2">
        <v>44819</v>
      </c>
    </row>
    <row r="95" spans="2:4" x14ac:dyDescent="0.2">
      <c r="B95" s="2">
        <v>44721</v>
      </c>
      <c r="C95" s="2">
        <v>44854</v>
      </c>
    </row>
    <row r="96" spans="2:4" x14ac:dyDescent="0.2">
      <c r="B96" s="2">
        <v>44419</v>
      </c>
      <c r="C96" s="2">
        <v>44979</v>
      </c>
    </row>
    <row r="97" spans="2:4" x14ac:dyDescent="0.2">
      <c r="B97" s="2">
        <v>44721</v>
      </c>
      <c r="C97" s="2">
        <v>44883</v>
      </c>
    </row>
    <row r="98" spans="2:4" x14ac:dyDescent="0.2">
      <c r="B98" s="2">
        <v>44489</v>
      </c>
      <c r="C98" s="2">
        <v>44754</v>
      </c>
    </row>
    <row r="99" spans="2:4" x14ac:dyDescent="0.2">
      <c r="B99" s="2">
        <v>44741</v>
      </c>
      <c r="C99" s="2">
        <v>44824</v>
      </c>
    </row>
    <row r="100" spans="2:4" x14ac:dyDescent="0.2">
      <c r="B100" s="2">
        <v>44736</v>
      </c>
      <c r="C100" s="2">
        <v>45015</v>
      </c>
    </row>
    <row r="101" spans="2:4" x14ac:dyDescent="0.2">
      <c r="B101" s="2">
        <v>44732</v>
      </c>
      <c r="C101" s="2">
        <v>45071</v>
      </c>
    </row>
    <row r="102" spans="2:4" x14ac:dyDescent="0.2">
      <c r="B102" s="2">
        <v>44750</v>
      </c>
      <c r="C102" s="2">
        <v>44897</v>
      </c>
    </row>
    <row r="103" spans="2:4" x14ac:dyDescent="0.2">
      <c r="B103" s="2">
        <v>44743</v>
      </c>
      <c r="C103" s="2">
        <v>44880</v>
      </c>
    </row>
    <row r="104" spans="2:4" x14ac:dyDescent="0.2">
      <c r="B104" s="2">
        <v>44783</v>
      </c>
      <c r="C104" s="2">
        <v>44999</v>
      </c>
    </row>
    <row r="105" spans="2:4" x14ac:dyDescent="0.2">
      <c r="B105" s="2">
        <v>44771</v>
      </c>
      <c r="C105" s="2">
        <v>44888</v>
      </c>
    </row>
    <row r="106" spans="2:4" x14ac:dyDescent="0.2">
      <c r="B106" s="2" t="s">
        <v>30</v>
      </c>
      <c r="C106" s="2">
        <v>45345</v>
      </c>
    </row>
    <row r="107" spans="2:4" x14ac:dyDescent="0.2">
      <c r="B107" s="2">
        <v>44813</v>
      </c>
      <c r="C107" s="2">
        <v>45106</v>
      </c>
    </row>
    <row r="108" spans="2:4" x14ac:dyDescent="0.2">
      <c r="B108" s="2">
        <v>44792</v>
      </c>
      <c r="C108" s="2">
        <v>45078</v>
      </c>
    </row>
    <row r="109" spans="2:4" x14ac:dyDescent="0.2">
      <c r="B109" s="2">
        <v>44839</v>
      </c>
      <c r="C109" s="2">
        <v>45026</v>
      </c>
    </row>
    <row r="110" spans="2:4" x14ac:dyDescent="0.2">
      <c r="B110" s="2">
        <v>44813</v>
      </c>
      <c r="C110" s="2">
        <v>45426</v>
      </c>
      <c r="D110" t="s">
        <v>31</v>
      </c>
    </row>
    <row r="111" spans="2:4" x14ac:dyDescent="0.2">
      <c r="B111" s="2">
        <v>44855</v>
      </c>
      <c r="C111" s="2">
        <v>44951</v>
      </c>
    </row>
    <row r="112" spans="2:4" x14ac:dyDescent="0.2">
      <c r="B112" s="2">
        <v>44860</v>
      </c>
      <c r="C112" s="2">
        <v>44960</v>
      </c>
    </row>
    <row r="113" spans="2:3" x14ac:dyDescent="0.2">
      <c r="B113" s="2">
        <v>44202</v>
      </c>
      <c r="C113" s="2">
        <v>44405</v>
      </c>
    </row>
    <row r="114" spans="2:3" x14ac:dyDescent="0.2">
      <c r="B114" s="2">
        <v>44854</v>
      </c>
      <c r="C114" s="2">
        <v>45148</v>
      </c>
    </row>
    <row r="115" spans="2:3" x14ac:dyDescent="0.2">
      <c r="B115" s="2">
        <v>44846</v>
      </c>
      <c r="C115" s="2">
        <v>45110</v>
      </c>
    </row>
    <row r="116" spans="2:3" x14ac:dyDescent="0.2">
      <c r="B116" s="2">
        <v>44868</v>
      </c>
      <c r="C116" s="2">
        <v>45099</v>
      </c>
    </row>
    <row r="117" spans="2:3" x14ac:dyDescent="0.2">
      <c r="B117" s="2">
        <v>45022</v>
      </c>
      <c r="C117" s="2">
        <v>45211</v>
      </c>
    </row>
    <row r="118" spans="2:3" x14ac:dyDescent="0.2">
      <c r="B118" s="2">
        <v>44883</v>
      </c>
      <c r="C118" s="2">
        <v>45329</v>
      </c>
    </row>
    <row r="119" spans="2:3" x14ac:dyDescent="0.2">
      <c r="B119" s="2">
        <v>44883</v>
      </c>
      <c r="C119" s="2">
        <v>45175</v>
      </c>
    </row>
    <row r="120" spans="2:3" x14ac:dyDescent="0.2">
      <c r="B120" s="2">
        <v>44958</v>
      </c>
      <c r="C120" s="2">
        <v>45247</v>
      </c>
    </row>
    <row r="121" spans="2:3" x14ac:dyDescent="0.2">
      <c r="B121" s="2">
        <v>44915</v>
      </c>
      <c r="C121" s="2">
        <v>45069</v>
      </c>
    </row>
    <row r="122" spans="2:3" x14ac:dyDescent="0.2">
      <c r="B122" s="2">
        <v>44883</v>
      </c>
      <c r="C122" s="2">
        <v>45329</v>
      </c>
    </row>
    <row r="123" spans="2:3" x14ac:dyDescent="0.2">
      <c r="B123" s="2">
        <v>44911</v>
      </c>
      <c r="C123" s="2">
        <v>45043</v>
      </c>
    </row>
    <row r="124" spans="2:3" x14ac:dyDescent="0.2">
      <c r="B124" s="2">
        <v>44957</v>
      </c>
      <c r="C124" s="2">
        <v>45029</v>
      </c>
    </row>
    <row r="125" spans="2:3" x14ac:dyDescent="0.2">
      <c r="B125" s="2">
        <v>44963</v>
      </c>
      <c r="C125" s="2">
        <v>45275</v>
      </c>
    </row>
    <row r="126" spans="2:3" x14ac:dyDescent="0.2">
      <c r="B126" s="2">
        <v>44974</v>
      </c>
      <c r="C126" s="2">
        <v>45404</v>
      </c>
    </row>
    <row r="127" spans="2:3" x14ac:dyDescent="0.2">
      <c r="B127" s="2">
        <v>44987</v>
      </c>
      <c r="C127" s="2">
        <v>45414</v>
      </c>
    </row>
    <row r="128" spans="2:3" x14ac:dyDescent="0.2">
      <c r="B128" s="2">
        <v>45015</v>
      </c>
      <c r="C128" s="2">
        <v>45474</v>
      </c>
    </row>
    <row r="129" spans="2:7" x14ac:dyDescent="0.2">
      <c r="B129" s="2">
        <v>45035</v>
      </c>
      <c r="C129" s="2">
        <v>45076</v>
      </c>
    </row>
    <row r="130" spans="2:7" x14ac:dyDescent="0.2">
      <c r="B130" s="2">
        <v>45016</v>
      </c>
      <c r="C130" s="2">
        <v>45282</v>
      </c>
      <c r="D130" t="s">
        <v>33</v>
      </c>
    </row>
    <row r="131" spans="2:7" x14ac:dyDescent="0.2">
      <c r="B131" s="2">
        <v>45022</v>
      </c>
      <c r="C131" s="2">
        <v>45628</v>
      </c>
    </row>
    <row r="132" spans="2:7" x14ac:dyDescent="0.2">
      <c r="B132" s="2">
        <v>45017</v>
      </c>
      <c r="C132" s="2">
        <v>45213</v>
      </c>
    </row>
    <row r="133" spans="2:7" x14ac:dyDescent="0.2">
      <c r="B133" s="2" t="s">
        <v>30</v>
      </c>
      <c r="C133" s="2" t="s">
        <v>34</v>
      </c>
    </row>
    <row r="134" spans="2:7" x14ac:dyDescent="0.2">
      <c r="B134" s="2">
        <v>45042</v>
      </c>
      <c r="C134" s="2">
        <v>45330</v>
      </c>
    </row>
    <row r="135" spans="2:7" x14ac:dyDescent="0.2">
      <c r="B135" s="2">
        <v>45055</v>
      </c>
      <c r="C135" s="2">
        <v>45149</v>
      </c>
    </row>
    <row r="136" spans="2:7" x14ac:dyDescent="0.2">
      <c r="B136" s="2">
        <v>45040</v>
      </c>
      <c r="C136" s="2">
        <v>45502</v>
      </c>
    </row>
    <row r="137" spans="2:7" x14ac:dyDescent="0.2">
      <c r="B137" s="2">
        <v>45079</v>
      </c>
      <c r="C137" s="2">
        <v>45188</v>
      </c>
    </row>
    <row r="138" spans="2:7" s="13" customFormat="1" x14ac:dyDescent="0.2">
      <c r="B138" s="14">
        <v>45107</v>
      </c>
      <c r="C138" s="14">
        <v>46020</v>
      </c>
      <c r="F138" s="25"/>
      <c r="G138" s="25"/>
    </row>
    <row r="139" spans="2:7" s="13" customFormat="1" x14ac:dyDescent="0.2">
      <c r="B139" s="14">
        <v>45114</v>
      </c>
      <c r="C139" s="14">
        <v>45722</v>
      </c>
      <c r="F139" s="25"/>
      <c r="G139" s="25"/>
    </row>
    <row r="140" spans="2:7" x14ac:dyDescent="0.2">
      <c r="B140" s="2">
        <v>45117</v>
      </c>
      <c r="C140" s="2">
        <v>45309</v>
      </c>
    </row>
    <row r="141" spans="2:7" x14ac:dyDescent="0.2">
      <c r="B141" s="2">
        <v>45161</v>
      </c>
      <c r="C141" s="2">
        <v>45413</v>
      </c>
    </row>
    <row r="142" spans="2:7" x14ac:dyDescent="0.2">
      <c r="B142" s="2">
        <v>45100</v>
      </c>
      <c r="C142" s="2">
        <v>45553</v>
      </c>
    </row>
    <row r="143" spans="2:7" x14ac:dyDescent="0.2">
      <c r="B143" s="2">
        <v>45138</v>
      </c>
      <c r="C143" s="2">
        <v>45275</v>
      </c>
    </row>
    <row r="144" spans="2:7" s="13" customFormat="1" x14ac:dyDescent="0.2">
      <c r="B144" s="14">
        <v>45099</v>
      </c>
      <c r="C144" s="14">
        <v>45797</v>
      </c>
      <c r="F144" s="25"/>
      <c r="G144" s="25"/>
    </row>
    <row r="145" spans="2:7" x14ac:dyDescent="0.2">
      <c r="B145" s="2">
        <v>45099</v>
      </c>
      <c r="C145" s="2">
        <v>45271</v>
      </c>
    </row>
    <row r="146" spans="2:7" x14ac:dyDescent="0.2">
      <c r="B146" s="4">
        <v>45120</v>
      </c>
      <c r="C146" s="2">
        <v>45330</v>
      </c>
    </row>
    <row r="147" spans="2:7" x14ac:dyDescent="0.2">
      <c r="B147" s="2">
        <v>45022</v>
      </c>
      <c r="C147" s="2">
        <v>45628</v>
      </c>
    </row>
    <row r="148" spans="2:7" x14ac:dyDescent="0.2">
      <c r="B148" s="2">
        <v>45107</v>
      </c>
      <c r="C148" s="2">
        <v>45223</v>
      </c>
    </row>
    <row r="149" spans="2:7" x14ac:dyDescent="0.2">
      <c r="B149" s="2">
        <v>45170</v>
      </c>
      <c r="C149" s="2">
        <v>45631</v>
      </c>
    </row>
    <row r="150" spans="2:7" x14ac:dyDescent="0.2">
      <c r="B150" s="2">
        <v>45240</v>
      </c>
      <c r="C150" s="2">
        <v>45470</v>
      </c>
    </row>
    <row r="151" spans="2:7" s="13" customFormat="1" x14ac:dyDescent="0.2">
      <c r="B151" s="14">
        <v>45191</v>
      </c>
      <c r="C151" s="14">
        <v>45827</v>
      </c>
      <c r="F151" s="25"/>
      <c r="G151" s="25"/>
    </row>
    <row r="152" spans="2:7" x14ac:dyDescent="0.2">
      <c r="B152" s="2">
        <v>45181</v>
      </c>
      <c r="C152" s="2">
        <v>45225</v>
      </c>
    </row>
    <row r="153" spans="2:7" x14ac:dyDescent="0.2">
      <c r="B153" s="2">
        <v>45219</v>
      </c>
      <c r="C153" s="2">
        <v>45315</v>
      </c>
    </row>
    <row r="154" spans="2:7" x14ac:dyDescent="0.2">
      <c r="B154" s="2">
        <v>45099</v>
      </c>
      <c r="C154" s="2">
        <v>45271</v>
      </c>
    </row>
    <row r="155" spans="2:7" x14ac:dyDescent="0.2">
      <c r="B155" s="2">
        <v>45170</v>
      </c>
      <c r="C155" s="2">
        <v>45251</v>
      </c>
    </row>
    <row r="156" spans="2:7" x14ac:dyDescent="0.2">
      <c r="B156" s="2">
        <v>45201</v>
      </c>
      <c r="C156" s="2">
        <v>45330</v>
      </c>
    </row>
    <row r="157" spans="2:7" x14ac:dyDescent="0.2">
      <c r="B157" s="2">
        <v>44644</v>
      </c>
      <c r="C157" s="2">
        <v>45233</v>
      </c>
    </row>
    <row r="158" spans="2:7" x14ac:dyDescent="0.2">
      <c r="B158" s="2">
        <v>45415</v>
      </c>
      <c r="C158" s="2">
        <v>45502</v>
      </c>
    </row>
    <row r="159" spans="2:7" x14ac:dyDescent="0.2">
      <c r="B159" s="2">
        <v>45211</v>
      </c>
      <c r="C159" s="2">
        <v>45281</v>
      </c>
    </row>
    <row r="160" spans="2:7" x14ac:dyDescent="0.2">
      <c r="B160" s="2">
        <v>45219</v>
      </c>
      <c r="C160" s="2">
        <v>45345</v>
      </c>
    </row>
    <row r="161" spans="2:7" x14ac:dyDescent="0.2">
      <c r="B161" s="2">
        <v>45161</v>
      </c>
      <c r="C161" s="2">
        <v>45413</v>
      </c>
    </row>
    <row r="162" spans="2:7" x14ac:dyDescent="0.2">
      <c r="B162" s="2">
        <v>45211</v>
      </c>
      <c r="C162" s="2">
        <v>45369</v>
      </c>
    </row>
    <row r="163" spans="2:7" s="13" customFormat="1" x14ac:dyDescent="0.2">
      <c r="B163" s="14">
        <v>45250</v>
      </c>
      <c r="C163" s="14">
        <v>45799</v>
      </c>
      <c r="F163" s="25"/>
      <c r="G163" s="25"/>
    </row>
    <row r="164" spans="2:7" x14ac:dyDescent="0.2">
      <c r="B164" s="2">
        <v>45202</v>
      </c>
      <c r="C164" s="2">
        <v>45639</v>
      </c>
    </row>
    <row r="165" spans="2:7" x14ac:dyDescent="0.2">
      <c r="B165" s="2">
        <v>44270</v>
      </c>
      <c r="C165" s="2">
        <v>45449</v>
      </c>
    </row>
    <row r="166" spans="2:7" x14ac:dyDescent="0.2">
      <c r="B166" s="2">
        <v>45257</v>
      </c>
      <c r="C166" s="2">
        <v>45440</v>
      </c>
    </row>
    <row r="167" spans="2:7" x14ac:dyDescent="0.2">
      <c r="B167" s="2">
        <v>45264</v>
      </c>
      <c r="C167" s="2">
        <v>45497</v>
      </c>
    </row>
    <row r="168" spans="2:7" x14ac:dyDescent="0.2">
      <c r="B168" s="2">
        <v>44826</v>
      </c>
      <c r="C168" s="2">
        <v>45127</v>
      </c>
      <c r="D168" t="s">
        <v>35</v>
      </c>
    </row>
    <row r="169" spans="2:7" x14ac:dyDescent="0.2">
      <c r="B169" s="2">
        <v>45310</v>
      </c>
      <c r="C169" s="2">
        <v>45401</v>
      </c>
    </row>
    <row r="170" spans="2:7" x14ac:dyDescent="0.2">
      <c r="B170" s="2">
        <v>45296</v>
      </c>
      <c r="C170" s="2">
        <v>45407</v>
      </c>
    </row>
    <row r="171" spans="2:7" x14ac:dyDescent="0.2">
      <c r="B171" s="2">
        <v>45338</v>
      </c>
      <c r="C171" s="2">
        <v>45614</v>
      </c>
    </row>
    <row r="172" spans="2:7" x14ac:dyDescent="0.2">
      <c r="B172" s="2">
        <v>45315</v>
      </c>
      <c r="C172" s="2">
        <v>45401</v>
      </c>
    </row>
    <row r="173" spans="2:7" x14ac:dyDescent="0.2">
      <c r="B173" s="2">
        <v>45352</v>
      </c>
      <c r="C173" s="2">
        <v>45516</v>
      </c>
    </row>
    <row r="174" spans="2:7" x14ac:dyDescent="0.2">
      <c r="B174" s="2">
        <v>45161</v>
      </c>
      <c r="C174" s="2">
        <v>45413</v>
      </c>
    </row>
    <row r="175" spans="2:7" s="13" customFormat="1" x14ac:dyDescent="0.2">
      <c r="B175" s="14">
        <v>45324</v>
      </c>
      <c r="C175" s="14">
        <v>45761</v>
      </c>
      <c r="F175" s="25"/>
      <c r="G175" s="25"/>
    </row>
    <row r="176" spans="2:7" s="13" customFormat="1" x14ac:dyDescent="0.2">
      <c r="B176" s="14">
        <v>45345</v>
      </c>
      <c r="C176" s="14">
        <v>45999</v>
      </c>
      <c r="F176" s="25"/>
      <c r="G176" s="25"/>
    </row>
    <row r="177" spans="2:7" x14ac:dyDescent="0.2">
      <c r="B177" s="2">
        <v>45327</v>
      </c>
      <c r="C177" s="2">
        <v>45460</v>
      </c>
    </row>
    <row r="178" spans="2:7" s="13" customFormat="1" x14ac:dyDescent="0.2">
      <c r="B178" s="14">
        <v>45355</v>
      </c>
      <c r="C178" s="14">
        <v>45786</v>
      </c>
      <c r="F178" s="25"/>
      <c r="G178" s="25"/>
    </row>
    <row r="179" spans="2:7" s="13" customFormat="1" x14ac:dyDescent="0.2">
      <c r="B179" s="14">
        <v>45355</v>
      </c>
      <c r="C179" s="14">
        <v>45740</v>
      </c>
      <c r="F179" s="25"/>
      <c r="G179" s="25"/>
    </row>
    <row r="180" spans="2:7" x14ac:dyDescent="0.2">
      <c r="B180" s="2">
        <v>45373</v>
      </c>
      <c r="C180" s="2">
        <v>45484</v>
      </c>
    </row>
    <row r="181" spans="2:7" s="13" customFormat="1" x14ac:dyDescent="0.2">
      <c r="B181" s="14">
        <v>45618</v>
      </c>
      <c r="C181" s="14">
        <v>45712</v>
      </c>
      <c r="F181" s="25"/>
      <c r="G181" s="25"/>
    </row>
    <row r="182" spans="2:7" x14ac:dyDescent="0.2">
      <c r="B182" s="2">
        <v>45352</v>
      </c>
      <c r="C182" s="2">
        <v>45498</v>
      </c>
    </row>
    <row r="183" spans="2:7" x14ac:dyDescent="0.2">
      <c r="B183" s="2">
        <v>45366</v>
      </c>
      <c r="C183" s="2">
        <v>45457</v>
      </c>
    </row>
    <row r="184" spans="2:7" x14ac:dyDescent="0.2">
      <c r="B184" s="2">
        <v>45359</v>
      </c>
      <c r="C184" s="2">
        <v>45481</v>
      </c>
    </row>
    <row r="185" spans="2:7" x14ac:dyDescent="0.2">
      <c r="B185" s="2">
        <v>45373</v>
      </c>
      <c r="C185" s="2">
        <v>45602</v>
      </c>
    </row>
    <row r="186" spans="2:7" x14ac:dyDescent="0.2">
      <c r="B186" s="2">
        <v>45441</v>
      </c>
      <c r="C186" s="2">
        <v>45534</v>
      </c>
    </row>
    <row r="187" spans="2:7" s="13" customFormat="1" x14ac:dyDescent="0.2">
      <c r="B187" s="14">
        <v>45434</v>
      </c>
      <c r="C187" s="14">
        <v>45775</v>
      </c>
      <c r="F187" s="25"/>
      <c r="G187" s="25"/>
    </row>
    <row r="188" spans="2:7" s="13" customFormat="1" x14ac:dyDescent="0.2">
      <c r="B188" s="14">
        <v>45387</v>
      </c>
      <c r="C188" s="14">
        <v>45890</v>
      </c>
      <c r="F188" s="25"/>
      <c r="G188" s="25"/>
    </row>
    <row r="189" spans="2:7" x14ac:dyDescent="0.2">
      <c r="B189" s="2">
        <v>45446</v>
      </c>
      <c r="C189" s="2">
        <v>45635</v>
      </c>
    </row>
    <row r="190" spans="2:7" x14ac:dyDescent="0.2">
      <c r="B190" s="2">
        <v>45401</v>
      </c>
      <c r="C190" s="2">
        <v>45495</v>
      </c>
    </row>
    <row r="191" spans="2:7" x14ac:dyDescent="0.2">
      <c r="B191" s="2">
        <v>45033</v>
      </c>
      <c r="C191" s="2">
        <v>45579</v>
      </c>
    </row>
    <row r="192" spans="2:7" x14ac:dyDescent="0.2">
      <c r="B192" s="2">
        <v>45433</v>
      </c>
      <c r="C192" s="2">
        <v>45637</v>
      </c>
    </row>
    <row r="193" spans="2:7" s="13" customFormat="1" x14ac:dyDescent="0.2">
      <c r="B193" s="14">
        <v>45406</v>
      </c>
      <c r="C193" s="14">
        <v>45693</v>
      </c>
      <c r="F193" s="25"/>
      <c r="G193" s="25"/>
    </row>
    <row r="194" spans="2:7" x14ac:dyDescent="0.2">
      <c r="B194" s="2">
        <v>45471</v>
      </c>
      <c r="C194" s="2">
        <v>45637</v>
      </c>
    </row>
    <row r="195" spans="2:7" s="13" customFormat="1" x14ac:dyDescent="0.2">
      <c r="B195" s="14">
        <v>45506</v>
      </c>
      <c r="C195" s="14">
        <v>46044</v>
      </c>
      <c r="F195" s="25"/>
      <c r="G195" s="25"/>
    </row>
    <row r="196" spans="2:7" x14ac:dyDescent="0.2">
      <c r="B196" s="2">
        <v>45457</v>
      </c>
      <c r="C196" s="2">
        <v>45546</v>
      </c>
    </row>
    <row r="197" spans="2:7" x14ac:dyDescent="0.2">
      <c r="B197" s="2">
        <v>45474</v>
      </c>
      <c r="C197" s="2">
        <v>45576</v>
      </c>
    </row>
    <row r="198" spans="2:7" x14ac:dyDescent="0.2">
      <c r="B198" s="2">
        <v>45463</v>
      </c>
      <c r="C198" s="2">
        <v>45635</v>
      </c>
    </row>
    <row r="199" spans="2:7" s="13" customFormat="1" x14ac:dyDescent="0.2">
      <c r="B199" s="14">
        <v>45481</v>
      </c>
      <c r="C199" s="14">
        <v>45792</v>
      </c>
      <c r="F199" s="25"/>
      <c r="G199" s="25"/>
    </row>
    <row r="200" spans="2:7" s="13" customFormat="1" x14ac:dyDescent="0.2">
      <c r="B200" s="14">
        <v>45506</v>
      </c>
      <c r="C200" s="14">
        <v>45945</v>
      </c>
      <c r="F200" s="25"/>
      <c r="G200" s="25"/>
    </row>
    <row r="201" spans="2:7" x14ac:dyDescent="0.2">
      <c r="B201" s="2">
        <v>45485</v>
      </c>
      <c r="C201" s="2">
        <v>45642</v>
      </c>
    </row>
    <row r="202" spans="2:7" x14ac:dyDescent="0.2">
      <c r="B202" s="2">
        <v>45497</v>
      </c>
      <c r="C202" s="2">
        <v>45603</v>
      </c>
    </row>
    <row r="203" spans="2:7" x14ac:dyDescent="0.2">
      <c r="B203" s="2">
        <v>45496</v>
      </c>
      <c r="C203" s="2">
        <v>45638</v>
      </c>
    </row>
    <row r="204" spans="2:7" x14ac:dyDescent="0.2">
      <c r="B204" s="2">
        <v>45433</v>
      </c>
      <c r="C204" s="2">
        <v>45637</v>
      </c>
    </row>
    <row r="205" spans="2:7" s="13" customFormat="1" x14ac:dyDescent="0.2">
      <c r="B205" s="14">
        <v>45499</v>
      </c>
      <c r="C205" s="14">
        <v>45896</v>
      </c>
      <c r="F205" s="25"/>
      <c r="G205" s="25"/>
    </row>
    <row r="206" spans="2:7" x14ac:dyDescent="0.2">
      <c r="B206" s="2">
        <v>45546</v>
      </c>
      <c r="C206" s="2">
        <v>45629</v>
      </c>
    </row>
    <row r="207" spans="2:7" x14ac:dyDescent="0.2">
      <c r="B207" s="2">
        <v>45182</v>
      </c>
      <c r="C207" s="2">
        <v>45580</v>
      </c>
    </row>
    <row r="208" spans="2:7" s="13" customFormat="1" x14ac:dyDescent="0.2">
      <c r="B208" s="14">
        <v>45560</v>
      </c>
      <c r="C208" s="14">
        <v>45666</v>
      </c>
      <c r="F208" s="25"/>
      <c r="G208" s="25"/>
    </row>
    <row r="209" spans="2:7" s="13" customFormat="1" x14ac:dyDescent="0.2">
      <c r="B209" s="14">
        <v>45530</v>
      </c>
      <c r="C209" s="14">
        <v>45810</v>
      </c>
      <c r="F209" s="25"/>
      <c r="G209" s="25"/>
    </row>
    <row r="210" spans="2:7" s="13" customFormat="1" x14ac:dyDescent="0.2">
      <c r="B210" s="14">
        <v>45527</v>
      </c>
      <c r="C210" s="14">
        <v>45824</v>
      </c>
      <c r="F210" s="25"/>
      <c r="G210" s="25"/>
    </row>
    <row r="211" spans="2:7" s="13" customFormat="1" x14ac:dyDescent="0.2">
      <c r="B211" s="14">
        <v>45632</v>
      </c>
      <c r="C211" s="14">
        <v>45859</v>
      </c>
      <c r="F211" s="25"/>
      <c r="G211" s="25"/>
    </row>
    <row r="212" spans="2:7" x14ac:dyDescent="0.2">
      <c r="B212" s="2">
        <v>45548</v>
      </c>
      <c r="C212" s="2">
        <v>45645</v>
      </c>
    </row>
    <row r="213" spans="2:7" s="13" customFormat="1" x14ac:dyDescent="0.2">
      <c r="B213" s="14">
        <v>45551</v>
      </c>
      <c r="C213" s="14">
        <v>45684</v>
      </c>
      <c r="F213" s="25"/>
      <c r="G213" s="25"/>
    </row>
    <row r="214" spans="2:7" s="13" customFormat="1" x14ac:dyDescent="0.2">
      <c r="B214" s="14">
        <v>45506</v>
      </c>
      <c r="C214" s="14">
        <v>46044</v>
      </c>
      <c r="F214" s="25"/>
      <c r="G214" s="25"/>
    </row>
    <row r="215" spans="2:7" s="13" customFormat="1" x14ac:dyDescent="0.2">
      <c r="B215" s="14">
        <v>45590</v>
      </c>
      <c r="C215" s="14">
        <v>45719</v>
      </c>
      <c r="F215" s="25"/>
      <c r="G215" s="25"/>
    </row>
    <row r="216" spans="2:7" s="13" customFormat="1" x14ac:dyDescent="0.2">
      <c r="B216" s="14">
        <v>45576</v>
      </c>
      <c r="C216" s="14">
        <v>45943</v>
      </c>
      <c r="F216" s="25"/>
      <c r="G216" s="25"/>
    </row>
    <row r="217" spans="2:7" s="13" customFormat="1" x14ac:dyDescent="0.2">
      <c r="B217" s="14">
        <v>45635</v>
      </c>
      <c r="C217" s="14">
        <v>45751</v>
      </c>
      <c r="F217" s="25"/>
      <c r="G217" s="25"/>
    </row>
    <row r="218" spans="2:7" s="13" customFormat="1" x14ac:dyDescent="0.2">
      <c r="B218" s="14">
        <v>45604</v>
      </c>
      <c r="C218" s="14">
        <v>45744</v>
      </c>
      <c r="F218" s="25"/>
      <c r="G218" s="25"/>
    </row>
    <row r="219" spans="2:7" s="13" customFormat="1" x14ac:dyDescent="0.2">
      <c r="B219" s="14">
        <v>45603</v>
      </c>
      <c r="C219" s="14">
        <v>45708</v>
      </c>
      <c r="F219" s="25"/>
      <c r="G219" s="25"/>
    </row>
    <row r="220" spans="2:7" s="13" customFormat="1" x14ac:dyDescent="0.2">
      <c r="B220" s="14">
        <v>45614</v>
      </c>
      <c r="C220" s="14">
        <v>45813</v>
      </c>
      <c r="F220" s="25"/>
      <c r="G220" s="25"/>
    </row>
    <row r="221" spans="2:7" s="13" customFormat="1" x14ac:dyDescent="0.2">
      <c r="B221" s="14">
        <v>45597</v>
      </c>
      <c r="C221" s="14">
        <v>45763</v>
      </c>
      <c r="F221" s="25"/>
      <c r="G221" s="25"/>
    </row>
    <row r="222" spans="2:7" s="13" customFormat="1" x14ac:dyDescent="0.2">
      <c r="B222" s="14">
        <v>45614</v>
      </c>
      <c r="C222" s="14">
        <v>45947</v>
      </c>
      <c r="F222" s="25"/>
      <c r="G222" s="25"/>
    </row>
    <row r="223" spans="2:7" s="13" customFormat="1" x14ac:dyDescent="0.2">
      <c r="B223" s="14">
        <v>45659</v>
      </c>
      <c r="C223" s="14">
        <v>45761</v>
      </c>
      <c r="F223" s="25"/>
      <c r="G223" s="25"/>
    </row>
    <row r="224" spans="2:7" s="13" customFormat="1" x14ac:dyDescent="0.2">
      <c r="B224" s="14">
        <v>45646</v>
      </c>
      <c r="C224" s="14">
        <v>45782</v>
      </c>
      <c r="F224" s="25"/>
      <c r="G224" s="25"/>
    </row>
    <row r="225" spans="2:7" s="13" customFormat="1" x14ac:dyDescent="0.2">
      <c r="B225" s="14">
        <v>45614</v>
      </c>
      <c r="C225" s="14">
        <v>45947</v>
      </c>
      <c r="F225" s="25"/>
      <c r="G225" s="25"/>
    </row>
    <row r="226" spans="2:7" s="13" customFormat="1" x14ac:dyDescent="0.2">
      <c r="B226" s="14">
        <v>45681</v>
      </c>
      <c r="C226" s="14">
        <v>45812</v>
      </c>
      <c r="F226" s="25"/>
      <c r="G226" s="2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stage</vt:lpstr>
      <vt:lpstr>two-stage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Beryl [UCM]</dc:creator>
  <cp:lastModifiedBy>Zhou, Beryl [UCM]</cp:lastModifiedBy>
  <dcterms:created xsi:type="dcterms:W3CDTF">2026-01-08T00:39:11Z</dcterms:created>
  <dcterms:modified xsi:type="dcterms:W3CDTF">2026-02-25T00:33:11Z</dcterms:modified>
</cp:coreProperties>
</file>