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skin\Documents\Projects\propensity_score_matching\data\"/>
    </mc:Choice>
  </mc:AlternateContent>
  <xr:revisionPtr revIDLastSave="0" documentId="13_ncr:1_{9815A95A-852D-413C-9D2E-02A640BCDD98}" xr6:coauthVersionLast="47" xr6:coauthVersionMax="47" xr10:uidLastSave="{00000000-0000-0000-0000-000000000000}"/>
  <bookViews>
    <workbookView xWindow="-14505" yWindow="-720" windowWidth="14610" windowHeight="15585" activeTab="1" xr2:uid="{8D6ADBF5-96F6-B143-86A8-5692DBE5BF1C}"/>
  </bookViews>
  <sheets>
    <sheet name="single stage" sheetId="1" r:id="rId1"/>
    <sheet name="two-stag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9" i="2" l="1"/>
  <c r="G20" i="2"/>
  <c r="G21" i="2"/>
  <c r="G22" i="2"/>
  <c r="G23" i="2"/>
  <c r="G24" i="2"/>
  <c r="G25" i="2"/>
  <c r="G26" i="2"/>
  <c r="G27" i="2"/>
  <c r="G28" i="2"/>
  <c r="G29" i="2"/>
  <c r="G30" i="2"/>
  <c r="F20" i="1"/>
  <c r="F19" i="1"/>
  <c r="G18" i="2"/>
  <c r="G17" i="2"/>
  <c r="G16" i="2"/>
  <c r="G15" i="2"/>
  <c r="G14" i="2"/>
  <c r="G13" i="2"/>
  <c r="G12" i="2"/>
  <c r="G11" i="2"/>
  <c r="F18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2" i="1"/>
  <c r="G2" i="2"/>
  <c r="G10" i="2"/>
  <c r="G9" i="2"/>
  <c r="G8" i="2"/>
  <c r="G7" i="2"/>
  <c r="G6" i="2"/>
  <c r="G3" i="2"/>
  <c r="G4" i="2"/>
  <c r="G5" i="2"/>
</calcChain>
</file>

<file path=xl/sharedStrings.xml><?xml version="1.0" encoding="utf-8"?>
<sst xmlns="http://schemas.openxmlformats.org/spreadsheetml/2006/main" count="777" uniqueCount="268">
  <si>
    <t>dob</t>
  </si>
  <si>
    <t>raceethnic</t>
  </si>
  <si>
    <t>datedx</t>
  </si>
  <si>
    <t>primary_site</t>
  </si>
  <si>
    <t>grade1</t>
  </si>
  <si>
    <t>tumor_size</t>
  </si>
  <si>
    <t>tobacco_history</t>
  </si>
  <si>
    <t>alcohol_history</t>
  </si>
  <si>
    <t>dead</t>
  </si>
  <si>
    <t>TE capacity</t>
  </si>
  <si>
    <t>TE initial fill</t>
  </si>
  <si>
    <t>ADM/dermal sling</t>
  </si>
  <si>
    <t>complications_2</t>
  </si>
  <si>
    <t>complications_3</t>
  </si>
  <si>
    <t>reoperation reason</t>
  </si>
  <si>
    <t>complication (Y/N)</t>
  </si>
  <si>
    <t>implant size</t>
  </si>
  <si>
    <t>implant material</t>
  </si>
  <si>
    <t>date_implant</t>
  </si>
  <si>
    <t>date_TE</t>
  </si>
  <si>
    <t>notes</t>
  </si>
  <si>
    <t>4/24/20 (R) 9/30/20 (L)</t>
  </si>
  <si>
    <t>7/7/2021 (R )</t>
  </si>
  <si>
    <t>pre-pec</t>
  </si>
  <si>
    <t>adjuvant chemotherapy (yes=1)</t>
  </si>
  <si>
    <t>sub-pec</t>
  </si>
  <si>
    <t>breast</t>
  </si>
  <si>
    <t>mastectomy laterality</t>
  </si>
  <si>
    <t>ER +</t>
  </si>
  <si>
    <t>PR+</t>
  </si>
  <si>
    <t>HER2+</t>
  </si>
  <si>
    <t>last date_FU with PRS or breast</t>
  </si>
  <si>
    <t>age</t>
  </si>
  <si>
    <t>BMI</t>
  </si>
  <si>
    <t>gender</t>
  </si>
  <si>
    <t>cormobidities (yes/no)</t>
  </si>
  <si>
    <t>diabetes</t>
  </si>
  <si>
    <t>A1c</t>
  </si>
  <si>
    <t>HTN</t>
  </si>
  <si>
    <t>removal of implant/TE</t>
  </si>
  <si>
    <t>replacement of implant/TE at same time</t>
  </si>
  <si>
    <t>SSM</t>
  </si>
  <si>
    <t>SSM-wise/skin-reducing</t>
  </si>
  <si>
    <t>RT (yes=1)</t>
  </si>
  <si>
    <t>medical complications</t>
  </si>
  <si>
    <t>F</t>
  </si>
  <si>
    <t>white</t>
  </si>
  <si>
    <t>II</t>
  </si>
  <si>
    <t>1.5 cm</t>
  </si>
  <si>
    <t>cancer laterality R(0), L (1), both (2)</t>
  </si>
  <si>
    <t>Y</t>
  </si>
  <si>
    <t>fat grafting</t>
  </si>
  <si>
    <t>reoperation (no=0, yes=1)</t>
  </si>
  <si>
    <t>memorygel silicone</t>
  </si>
  <si>
    <t>N</t>
  </si>
  <si>
    <t>clinical stage</t>
  </si>
  <si>
    <t>path stage</t>
  </si>
  <si>
    <t>T1N0M0</t>
  </si>
  <si>
    <t>pT1c</t>
  </si>
  <si>
    <t>SSM-ellipse/standard</t>
  </si>
  <si>
    <t>SLNB (yes=1)</t>
  </si>
  <si>
    <t>DCIS</t>
  </si>
  <si>
    <r>
      <t>pTisN0</t>
    </r>
    <r>
      <rPr>
        <sz val="11"/>
        <color theme="1"/>
        <rFont val="Arial"/>
        <family val="2"/>
      </rPr>
      <t> </t>
    </r>
  </si>
  <si>
    <t>cellulitis</t>
  </si>
  <si>
    <t>capsulotomy</t>
  </si>
  <si>
    <t>liposuction and capsulotomy</t>
  </si>
  <si>
    <t>5 cm</t>
  </si>
  <si>
    <t>seroma</t>
  </si>
  <si>
    <r>
      <t>pT1cN0</t>
    </r>
    <r>
      <rPr>
        <sz val="11"/>
        <color theme="1"/>
        <rFont val="Arial"/>
        <family val="2"/>
      </rPr>
      <t> </t>
    </r>
  </si>
  <si>
    <t>1.6 cm</t>
  </si>
  <si>
    <t>IDC</t>
  </si>
  <si>
    <t>black</t>
  </si>
  <si>
    <r>
      <t>pT1c(m)N1a(sn)</t>
    </r>
    <r>
      <rPr>
        <sz val="11"/>
        <color theme="1"/>
        <rFont val="Arial"/>
        <family val="2"/>
      </rPr>
      <t> </t>
    </r>
  </si>
  <si>
    <t>IDC/DCIS</t>
  </si>
  <si>
    <t>complications_4</t>
  </si>
  <si>
    <t>bacteremia</t>
  </si>
  <si>
    <t xml:space="preserve">capsulotomy and asymmetry </t>
  </si>
  <si>
    <t>silicone</t>
  </si>
  <si>
    <t>CVD</t>
  </si>
  <si>
    <t xml:space="preserve">2.5 (L) </t>
  </si>
  <si>
    <t>ypT1bNX</t>
  </si>
  <si>
    <t>L IDC, R breast had prior DCIS</t>
  </si>
  <si>
    <t>?</t>
  </si>
  <si>
    <t xml:space="preserve">silicone </t>
  </si>
  <si>
    <t>300 (R), 400 (L)</t>
  </si>
  <si>
    <t>III</t>
  </si>
  <si>
    <t>2.5 cm</t>
  </si>
  <si>
    <r>
      <t>ypT0N0</t>
    </r>
    <r>
      <rPr>
        <sz val="11"/>
        <color theme="1"/>
        <rFont val="Arial"/>
        <family val="2"/>
      </rPr>
      <t> </t>
    </r>
  </si>
  <si>
    <t>removal of implant 9/20/21</t>
  </si>
  <si>
    <t>R IDC , L prophylactic; underwent bilateral completion mastectomy 7/26/23</t>
  </si>
  <si>
    <r>
      <t>pT1b, N0(sn)</t>
    </r>
    <r>
      <rPr>
        <sz val="11"/>
        <color theme="1"/>
        <rFont val="Arial"/>
        <family val="2"/>
      </rPr>
      <t> </t>
    </r>
  </si>
  <si>
    <t>9 mm</t>
  </si>
  <si>
    <t>L IDC, R prophylactic</t>
  </si>
  <si>
    <t>former</t>
  </si>
  <si>
    <t>I</t>
  </si>
  <si>
    <t>2 mm</t>
  </si>
  <si>
    <t>IA</t>
  </si>
  <si>
    <t>pT2N0sn</t>
  </si>
  <si>
    <t xml:space="preserve">R IDC  </t>
  </si>
  <si>
    <t>2.8 cm</t>
  </si>
  <si>
    <t xml:space="preserve">seroma </t>
  </si>
  <si>
    <t>IIB</t>
  </si>
  <si>
    <t xml:space="preserve">R IDC </t>
  </si>
  <si>
    <r>
      <t>T2N0M0</t>
    </r>
    <r>
      <rPr>
        <sz val="11"/>
        <color theme="1"/>
        <rFont val="Arial"/>
        <family val="2"/>
      </rPr>
      <t> </t>
    </r>
  </si>
  <si>
    <t>2.8 or 6.3 cm</t>
  </si>
  <si>
    <t>cT2N0M0</t>
  </si>
  <si>
    <t>R IDC</t>
  </si>
  <si>
    <t>adjuvant endocrine</t>
  </si>
  <si>
    <t>2.5cm x 1.0cm</t>
  </si>
  <si>
    <r>
      <t xml:space="preserve">prophylactic bilateral mastectomy, </t>
    </r>
    <r>
      <rPr>
        <sz val="12"/>
        <color rgb="FFFF0000"/>
        <rFont val="Aptos Narrow (Body)"/>
      </rPr>
      <t>PALB2 positive? Fam history?</t>
    </r>
  </si>
  <si>
    <t>cough</t>
  </si>
  <si>
    <t>N/A</t>
  </si>
  <si>
    <t>7 cm</t>
  </si>
  <si>
    <t>capsular contracture of L breast</t>
  </si>
  <si>
    <t xml:space="preserve"> p T2(m)N0(sn)</t>
  </si>
  <si>
    <t>R IDC, L prophylactic</t>
  </si>
  <si>
    <r>
      <t>2.5cm and 6mm</t>
    </r>
    <r>
      <rPr>
        <sz val="11"/>
        <color theme="1"/>
        <rFont val="Arial"/>
        <family val="2"/>
      </rPr>
      <t> </t>
    </r>
  </si>
  <si>
    <t>rupture of breast</t>
  </si>
  <si>
    <t>pT3N1(mi)</t>
  </si>
  <si>
    <t>fever to 102</t>
  </si>
  <si>
    <t>6x4x2cm</t>
  </si>
  <si>
    <t>capsular contracture</t>
  </si>
  <si>
    <t>periprosthetic capsulotomy and fat grafting</t>
  </si>
  <si>
    <t xml:space="preserve">initial recon 10/15/19 at OSH, underwent completion mastectomy with implant replacement, L ILC </t>
  </si>
  <si>
    <t>R LCIS prophylactic, L prophylactic factor IX deficiency</t>
  </si>
  <si>
    <t>smaller implants</t>
  </si>
  <si>
    <t>L IDC, BRCA1 gene positive</t>
  </si>
  <si>
    <t>cT2N0 M0</t>
  </si>
  <si>
    <t>2.4 cm</t>
  </si>
  <si>
    <t>prophylactic BRCA1+</t>
  </si>
  <si>
    <t>fevers, chills</t>
  </si>
  <si>
    <t>washout</t>
  </si>
  <si>
    <r>
      <t>cT2N1M0</t>
    </r>
    <r>
      <rPr>
        <sz val="11"/>
        <color theme="1"/>
        <rFont val="Arial"/>
        <family val="2"/>
      </rPr>
      <t> </t>
    </r>
  </si>
  <si>
    <t>7 mm</t>
  </si>
  <si>
    <t>1.2 cm</t>
  </si>
  <si>
    <t>R DCIS, L ADH prophylactic</t>
  </si>
  <si>
    <t>low back pain and renal scarring?</t>
  </si>
  <si>
    <t>multiple foci, largest span 2.4 cm</t>
  </si>
  <si>
    <t xml:space="preserve"> pTis(DCIS), N0(sn) </t>
  </si>
  <si>
    <t>silicone, then saline</t>
  </si>
  <si>
    <r>
      <t>p T2(m)N0(sn)</t>
    </r>
    <r>
      <rPr>
        <sz val="11"/>
        <color theme="1"/>
        <rFont val="Arial"/>
        <family val="2"/>
      </rPr>
      <t> </t>
    </r>
  </si>
  <si>
    <r>
      <t>two foci (2.5cm and 6mm)</t>
    </r>
    <r>
      <rPr>
        <sz val="11"/>
        <color theme="1"/>
        <rFont val="Arial"/>
        <family val="2"/>
      </rPr>
      <t> </t>
    </r>
  </si>
  <si>
    <t>capsular contraction, exchange for saline implants, then complete removal</t>
  </si>
  <si>
    <t>L IDC</t>
  </si>
  <si>
    <r>
      <t>PT1bN0</t>
    </r>
    <r>
      <rPr>
        <sz val="11"/>
        <color theme="1"/>
        <rFont val="Arial"/>
        <family val="2"/>
      </rPr>
      <t> </t>
    </r>
  </si>
  <si>
    <t>R ILC, L implant replacement and mastopexy</t>
  </si>
  <si>
    <t>1.8 cm</t>
  </si>
  <si>
    <t>pT1cN0(sn)</t>
  </si>
  <si>
    <t>asymmetry</t>
  </si>
  <si>
    <t>R ILC ms TRAM flap, L prophylactic DTI, BCRA2+</t>
  </si>
  <si>
    <t>planned fat grafting to L breast</t>
  </si>
  <si>
    <t>L IDC and DCIS, R prophylactic</t>
  </si>
  <si>
    <r>
      <t>2mm</t>
    </r>
    <r>
      <rPr>
        <sz val="11"/>
        <color theme="1"/>
        <rFont val="Arial"/>
        <family val="2"/>
      </rPr>
      <t> </t>
    </r>
    <r>
      <rPr>
        <sz val="10"/>
        <color theme="1"/>
        <rFont val="Arial"/>
        <family val="2"/>
      </rPr>
      <t>(IDC) and 7 cm (DCIS)</t>
    </r>
  </si>
  <si>
    <r>
      <t>cT1aN0M0</t>
    </r>
    <r>
      <rPr>
        <sz val="11"/>
        <color theme="1"/>
        <rFont val="Arial"/>
        <family val="2"/>
      </rPr>
      <t> </t>
    </r>
  </si>
  <si>
    <r>
      <t>IA</t>
    </r>
    <r>
      <rPr>
        <sz val="11"/>
        <color theme="1"/>
        <rFont val="Arial"/>
        <family val="2"/>
      </rPr>
      <t> </t>
    </r>
  </si>
  <si>
    <t>hematoma</t>
  </si>
  <si>
    <t>L breast had TE in 2018, bilateral recon 2021, BCRA2+</t>
  </si>
  <si>
    <r>
      <t>ypT1b(m)N1(sn)</t>
    </r>
    <r>
      <rPr>
        <sz val="11"/>
        <color theme="1"/>
        <rFont val="Arial"/>
        <family val="2"/>
      </rPr>
      <t> </t>
    </r>
  </si>
  <si>
    <t>hematoma washout</t>
  </si>
  <si>
    <t xml:space="preserve">implant removal later and TE placement, L DCIS with Paget's </t>
  </si>
  <si>
    <t>Paget's disease, TE placement</t>
  </si>
  <si>
    <r>
      <t>TisN0M0</t>
    </r>
    <r>
      <rPr>
        <sz val="11"/>
        <color theme="1"/>
        <rFont val="Arial"/>
        <family val="2"/>
      </rPr>
      <t> </t>
    </r>
  </si>
  <si>
    <t>6.3 cm</t>
  </si>
  <si>
    <t>131/72 ?</t>
  </si>
  <si>
    <t>PT1c,N0</t>
  </si>
  <si>
    <t>R DCIS</t>
  </si>
  <si>
    <t>5 mm &amp; 1.5 mm IDC</t>
  </si>
  <si>
    <t>debridement</t>
  </si>
  <si>
    <r>
      <t>pT1a(m)N0</t>
    </r>
    <r>
      <rPr>
        <sz val="11"/>
        <color theme="1"/>
        <rFont val="Arial"/>
        <family val="2"/>
      </rPr>
      <t> </t>
    </r>
  </si>
  <si>
    <t>socially</t>
  </si>
  <si>
    <t>L IDC, R prophylactic, BCRA2+</t>
  </si>
  <si>
    <r>
      <t>cT2mcN0</t>
    </r>
    <r>
      <rPr>
        <sz val="11"/>
        <color theme="1"/>
        <rFont val="Arial"/>
        <family val="2"/>
      </rPr>
      <t> </t>
    </r>
  </si>
  <si>
    <t>IIA</t>
  </si>
  <si>
    <t xml:space="preserve">1.0 cm </t>
  </si>
  <si>
    <t>expander removal and debridement</t>
  </si>
  <si>
    <t>275 (R) 295 (L)</t>
  </si>
  <si>
    <t>lymphedema</t>
  </si>
  <si>
    <t>capsulotomy and fat grafting</t>
  </si>
  <si>
    <t>465 (R) 235 (L)</t>
  </si>
  <si>
    <r>
      <t>pT2N0(sn)</t>
    </r>
    <r>
      <rPr>
        <sz val="11"/>
        <color theme="1"/>
        <rFont val="Arial"/>
        <family val="2"/>
      </rPr>
      <t> </t>
    </r>
  </si>
  <si>
    <t>2.1 cm</t>
  </si>
  <si>
    <r>
      <t>cT2N1</t>
    </r>
    <r>
      <rPr>
        <sz val="11"/>
        <color theme="1"/>
        <rFont val="Arial"/>
        <family val="2"/>
      </rPr>
      <t> </t>
    </r>
  </si>
  <si>
    <t>2.3 cm</t>
  </si>
  <si>
    <t>L TE removal, washout, replacement</t>
  </si>
  <si>
    <r>
      <t>cT1aN0</t>
    </r>
    <r>
      <rPr>
        <sz val="11"/>
        <color theme="1"/>
        <rFont val="Arial"/>
        <family val="2"/>
      </rPr>
      <t> </t>
    </r>
  </si>
  <si>
    <t xml:space="preserve">I </t>
  </si>
  <si>
    <t>ypTisN0</t>
  </si>
  <si>
    <t>removal of implants, potentially future saline</t>
  </si>
  <si>
    <t>0.1 mm</t>
  </si>
  <si>
    <t>300 (R) 400 (L)</t>
  </si>
  <si>
    <t>plan to swap for saline</t>
  </si>
  <si>
    <t>L DCIS</t>
  </si>
  <si>
    <t>8.2 cm</t>
  </si>
  <si>
    <t>intermediate</t>
  </si>
  <si>
    <t>rare</t>
  </si>
  <si>
    <t>6 cm</t>
  </si>
  <si>
    <r>
      <t>pT1bN0(sn)</t>
    </r>
    <r>
      <rPr>
        <sz val="11"/>
        <color theme="1"/>
        <rFont val="Arial"/>
        <family val="2"/>
      </rPr>
      <t> </t>
    </r>
  </si>
  <si>
    <t>8mm (IDC) 3.9 cm (DCIS)</t>
  </si>
  <si>
    <t>10 cm</t>
  </si>
  <si>
    <r>
      <t>cT2(m)N0M0)</t>
    </r>
    <r>
      <rPr>
        <sz val="11"/>
        <color theme="1"/>
        <rFont val="Arial"/>
        <family val="2"/>
      </rPr>
      <t> </t>
    </r>
  </si>
  <si>
    <t>L ILC, R prophylactic, PMS2 VUS</t>
  </si>
  <si>
    <t>low</t>
  </si>
  <si>
    <t>L DCIS/ADH, R mastopexy</t>
  </si>
  <si>
    <t>R ADH, BL risk reducing, BCRA2+</t>
  </si>
  <si>
    <t>seroma draining (is this op?)</t>
  </si>
  <si>
    <t>BL prophylactic, BCRA1+</t>
  </si>
  <si>
    <t>1.2 &amp; 1.1 cm</t>
  </si>
  <si>
    <t>pT1c(m)N0(sn)</t>
  </si>
  <si>
    <t>0-flap</t>
  </si>
  <si>
    <t>capsular contraction, periprosthetic capsulotomies, fat grafting</t>
  </si>
  <si>
    <t>capsular contraction</t>
  </si>
  <si>
    <t>R ILC, L mastopexy</t>
  </si>
  <si>
    <t>5.5 cm</t>
  </si>
  <si>
    <t>pT3N1mi(sn)</t>
  </si>
  <si>
    <r>
      <t>cT1bN0M0</t>
    </r>
    <r>
      <rPr>
        <sz val="11"/>
        <color theme="1"/>
        <rFont val="Arial"/>
        <family val="2"/>
      </rPr>
      <t> </t>
    </r>
  </si>
  <si>
    <t>6mm x 2mm )(IDC), 9 cm DCIS</t>
  </si>
  <si>
    <t xml:space="preserve"> 300 (R) 200 (L)</t>
  </si>
  <si>
    <r>
      <t>ypTis, N0(sn)</t>
    </r>
    <r>
      <rPr>
        <sz val="11"/>
        <color theme="1"/>
        <rFont val="Arial"/>
        <family val="2"/>
      </rPr>
      <t> </t>
    </r>
  </si>
  <si>
    <r>
      <t>4.7 x 3.5 cm</t>
    </r>
    <r>
      <rPr>
        <sz val="11"/>
        <color theme="1"/>
        <rFont val="Arial"/>
        <family val="2"/>
      </rPr>
      <t> </t>
    </r>
  </si>
  <si>
    <t xml:space="preserve"> 20cm x 15cm</t>
  </si>
  <si>
    <t>IIIA</t>
  </si>
  <si>
    <r>
      <t>ypT3N1(sn)</t>
    </r>
    <r>
      <rPr>
        <sz val="11"/>
        <color theme="1"/>
        <rFont val="Arial"/>
        <family val="2"/>
      </rPr>
      <t> </t>
    </r>
  </si>
  <si>
    <r>
      <t>ypT2(m)N2a</t>
    </r>
    <r>
      <rPr>
        <sz val="11"/>
        <color theme="1"/>
        <rFont val="Arial"/>
        <family val="2"/>
      </rPr>
      <t> </t>
    </r>
  </si>
  <si>
    <t>28mm x 17mm</t>
  </si>
  <si>
    <t>R IDC, L prophylactic, CHEK2+</t>
  </si>
  <si>
    <t>breast/axilla</t>
  </si>
  <si>
    <t>asymmetry: L skin excision and capsulorrhaphy</t>
  </si>
  <si>
    <t>4 mm</t>
  </si>
  <si>
    <t>L DCIS, R IDC cancer 2013</t>
  </si>
  <si>
    <t>L breast revision, flipped implant</t>
  </si>
  <si>
    <t>2013 (R) 2021 (L)</t>
  </si>
  <si>
    <r>
      <t>pT1miN0</t>
    </r>
    <r>
      <rPr>
        <sz val="11"/>
        <color theme="1"/>
        <rFont val="Arial"/>
        <family val="2"/>
      </rPr>
      <t> </t>
    </r>
  </si>
  <si>
    <t>high</t>
  </si>
  <si>
    <t xml:space="preserve">R DCIS  </t>
  </si>
  <si>
    <t>low grade fever, rash, pain with movement</t>
  </si>
  <si>
    <t>IA </t>
  </si>
  <si>
    <r>
      <t>ypT1a(m)N0(sn)</t>
    </r>
    <r>
      <rPr>
        <sz val="11"/>
        <color theme="1"/>
        <rFont val="Arial"/>
        <family val="2"/>
      </rPr>
      <t> </t>
    </r>
  </si>
  <si>
    <t xml:space="preserve">5 mm </t>
  </si>
  <si>
    <t>implant exposure</t>
  </si>
  <si>
    <t>infection</t>
  </si>
  <si>
    <t xml:space="preserve">replacement of R implant </t>
  </si>
  <si>
    <r>
      <t>pT1a, N0(sn)</t>
    </r>
    <r>
      <rPr>
        <sz val="11"/>
        <color theme="1"/>
        <rFont val="Arial"/>
        <family val="2"/>
      </rPr>
      <t> </t>
    </r>
  </si>
  <si>
    <t>5.0 mm</t>
  </si>
  <si>
    <t>R IDC &amp; DCIS, L mastopexy</t>
  </si>
  <si>
    <t>fever</t>
  </si>
  <si>
    <t>LCIS</t>
  </si>
  <si>
    <t>cancer type</t>
  </si>
  <si>
    <t>prophylactic</t>
  </si>
  <si>
    <t>SPY</t>
  </si>
  <si>
    <t>ILC</t>
  </si>
  <si>
    <t>DCIS, ADH</t>
  </si>
  <si>
    <t>IDC, DCIS</t>
  </si>
  <si>
    <t>DCIS, Paget's</t>
  </si>
  <si>
    <t>DCIS, IDC</t>
  </si>
  <si>
    <t>other</t>
  </si>
  <si>
    <t>pain</t>
  </si>
  <si>
    <t>itching</t>
  </si>
  <si>
    <t xml:space="preserve"> </t>
  </si>
  <si>
    <t xml:space="preserve">IIA </t>
  </si>
  <si>
    <t>IDC,DCIS</t>
  </si>
  <si>
    <t>skin necrosis</t>
  </si>
  <si>
    <t>wound necrosis</t>
  </si>
  <si>
    <t>rash</t>
  </si>
  <si>
    <t>dehiscence</t>
  </si>
  <si>
    <t>NSM</t>
  </si>
  <si>
    <t>neoadjuvant chemotherapy (yes=1)</t>
  </si>
  <si>
    <t>immunotherapy (keytruda?)</t>
  </si>
  <si>
    <t>ALND (yes=1)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</si>
</sst>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2"/>
      <color theme="1"/>
      <name val="Aptos Narrow"/>
      <family val="2"/>
      <scheme val="minor"/>
    </font>
    <font>
      <sz val="11"/>
      <name val="Calibri"/>
      <family val="2"/>
    </font>
    <font>
      <sz val="12"/>
      <color rgb="FFFF0000"/>
      <name val="Aptos Narrow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rgb="FFFF0000"/>
      <name val="Calibri"/>
      <family val="2"/>
    </font>
    <font>
      <b/>
      <sz val="12"/>
      <color rgb="FFFF0000"/>
      <name val="Aptos Narrow"/>
      <family val="2"/>
      <scheme val="minor"/>
    </font>
    <font>
      <sz val="12"/>
      <color rgb="FFFF0000"/>
      <name val="Aptos Narrow (Body)"/>
    </font>
    <font>
      <sz val="12"/>
      <color rgb="FF000000"/>
      <name val="Aptos Narrow"/>
      <family val="2"/>
      <scheme val="minor"/>
    </font>
    <font>
      <sz val="10"/>
      <color rgb="FFFF0000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3" borderId="0" xfId="0" applyFill="1"/>
    <xf numFmtId="0" fontId="2" fillId="0" borderId="0" xfId="0" applyFont="1"/>
    <xf numFmtId="2" fontId="0" fillId="3" borderId="0" xfId="0" applyNumberFormat="1" applyFill="1"/>
    <xf numFmtId="0" fontId="3" fillId="0" borderId="0" xfId="0" applyFont="1"/>
    <xf numFmtId="0" fontId="5" fillId="0" borderId="0" xfId="0" applyFont="1"/>
    <xf numFmtId="0" fontId="0" fillId="4" borderId="0" xfId="0" applyFill="1"/>
    <xf numFmtId="0" fontId="7" fillId="2" borderId="0" xfId="0" applyFont="1" applyFill="1"/>
    <xf numFmtId="2" fontId="7" fillId="2" borderId="0" xfId="0" applyNumberFormat="1" applyFont="1" applyFill="1"/>
    <xf numFmtId="0" fontId="6" fillId="2" borderId="0" xfId="0" applyFont="1" applyFill="1"/>
    <xf numFmtId="14" fontId="1" fillId="0" borderId="0" xfId="0" applyNumberFormat="1" applyFont="1"/>
    <xf numFmtId="2" fontId="8" fillId="2" borderId="0" xfId="0" applyNumberFormat="1" applyFont="1" applyFill="1"/>
    <xf numFmtId="0" fontId="9" fillId="2" borderId="0" xfId="0" applyFont="1" applyFill="1"/>
    <xf numFmtId="0" fontId="8" fillId="2" borderId="0" xfId="0" applyFont="1" applyFill="1"/>
    <xf numFmtId="0" fontId="11" fillId="0" borderId="0" xfId="0" applyFont="1"/>
    <xf numFmtId="2" fontId="7" fillId="3" borderId="0" xfId="0" applyNumberFormat="1" applyFont="1" applyFill="1"/>
    <xf numFmtId="0" fontId="1" fillId="3" borderId="0" xfId="0" applyFont="1" applyFill="1"/>
    <xf numFmtId="0" fontId="2" fillId="3" borderId="0" xfId="0" applyFont="1" applyFill="1"/>
    <xf numFmtId="2" fontId="1" fillId="3" borderId="0" xfId="0" applyNumberFormat="1" applyFont="1" applyFill="1"/>
    <xf numFmtId="2" fontId="2" fillId="3" borderId="0" xfId="0" applyNumberFormat="1" applyFont="1" applyFill="1"/>
    <xf numFmtId="0" fontId="7" fillId="3" borderId="0" xfId="0" applyFont="1" applyFill="1"/>
    <xf numFmtId="14" fontId="0" fillId="3" borderId="0" xfId="0" applyNumberFormat="1" applyFill="1"/>
    <xf numFmtId="0" fontId="9" fillId="3" borderId="0" xfId="0" applyFont="1" applyFill="1"/>
    <xf numFmtId="0" fontId="11" fillId="3" borderId="0" xfId="0" applyFont="1" applyFill="1"/>
    <xf numFmtId="0" fontId="3" fillId="3" borderId="0" xfId="0" applyFont="1" applyFill="1"/>
    <xf numFmtId="0" fontId="1" fillId="5" borderId="0" xfId="0" applyFont="1" applyFill="1"/>
    <xf numFmtId="0" fontId="0" fillId="5" borderId="0" xfId="0" applyFill="1"/>
    <xf numFmtId="0" fontId="11" fillId="5" borderId="0" xfId="0" applyFont="1" applyFill="1"/>
    <xf numFmtId="0" fontId="3" fillId="5" borderId="0" xfId="0" applyFont="1" applyFill="1"/>
    <xf numFmtId="0" fontId="13" fillId="2" borderId="0" xfId="0" applyFont="1" applyFill="1"/>
    <xf numFmtId="0" fontId="14" fillId="3" borderId="0" xfId="0" applyFont="1" applyFill="1"/>
    <xf numFmtId="0" fontId="7" fillId="6" borderId="0" xfId="0" applyFont="1" applyFill="1"/>
    <xf numFmtId="14" fontId="0" fillId="6" borderId="0" xfId="0" applyNumberFormat="1" applyFill="1"/>
    <xf numFmtId="0" fontId="0" fillId="6" borderId="0" xfId="0" applyFill="1"/>
    <xf numFmtId="14" fontId="1" fillId="6" borderId="0" xfId="0" applyNumberFormat="1" applyFont="1" applyFill="1"/>
    <xf numFmtId="0" fontId="3" fillId="6" borderId="0" xfId="0" applyFont="1" applyFill="1"/>
    <xf numFmtId="0" fontId="2" fillId="6" borderId="0" xfId="0" applyFont="1" applyFill="1"/>
    <xf numFmtId="0" fontId="12" fillId="6" borderId="0" xfId="0" applyFont="1" applyFill="1"/>
    <xf numFmtId="0" fontId="10" fillId="3" borderId="0" xfId="0" applyFont="1" applyFill="1"/>
    <xf numFmtId="0" fontId="12" fillId="3" borderId="0" xfId="0" applyFont="1" applyFill="1"/>
    <xf numFmtId="0" fontId="6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1DC17-C587-D64E-9C79-5E60928EE50E}">
  <dimension ref="A1:BB51"/>
  <sheetViews>
    <sheetView topLeftCell="AC1" zoomScale="87" zoomScaleNormal="87" workbookViewId="0">
      <selection activeCell="AF1" sqref="AF1"/>
    </sheetView>
  </sheetViews>
  <sheetFormatPr defaultColWidth="11" defaultRowHeight="15.75"/>
  <cols>
    <col min="4" max="4" width="45.625" customWidth="1"/>
    <col min="5" max="5" width="10.625" customWidth="1"/>
    <col min="6" max="6" width="10" style="3" customWidth="1"/>
    <col min="7" max="7" width="12.125" style="5" customWidth="1"/>
    <col min="9" max="9" width="10.125" style="3" customWidth="1"/>
    <col min="10" max="10" width="9.375" customWidth="1"/>
    <col min="11" max="11" width="8.625" style="3" customWidth="1"/>
    <col min="12" max="12" width="7.375" customWidth="1"/>
    <col min="13" max="13" width="7.375" style="3" customWidth="1"/>
    <col min="14" max="14" width="7.375" customWidth="1"/>
    <col min="15" max="15" width="10" style="3" customWidth="1"/>
    <col min="16" max="16" width="10.625" style="3" customWidth="1"/>
    <col min="17" max="19" width="10.875" style="3"/>
    <col min="20" max="20" width="19.5" customWidth="1"/>
    <col min="21" max="21" width="21.125" style="3" customWidth="1"/>
    <col min="22" max="22" width="27.5" style="3" customWidth="1"/>
    <col min="23" max="23" width="28.875" customWidth="1"/>
    <col min="24" max="24" width="15.875" customWidth="1"/>
    <col min="25" max="25" width="21.875" style="3" customWidth="1"/>
    <col min="26" max="26" width="31" style="3" customWidth="1"/>
    <col min="27" max="27" width="13.875" style="3" customWidth="1"/>
    <col min="28" max="28" width="10.875" style="3"/>
    <col min="29" max="29" width="24.625" style="3" customWidth="1"/>
    <col min="30" max="30" width="22.375" style="3" customWidth="1"/>
    <col min="31" max="31" width="19.875" style="3" customWidth="1"/>
    <col min="32" max="32" width="16.375" style="3" customWidth="1"/>
    <col min="33" max="33" width="10.875" style="3"/>
    <col min="34" max="34" width="17.625" style="3" customWidth="1"/>
    <col min="35" max="35" width="16.375" style="3" customWidth="1"/>
    <col min="36" max="36" width="10.875" style="3"/>
    <col min="37" max="37" width="16.125" style="3" customWidth="1"/>
    <col min="38" max="38" width="19.875" style="3" customWidth="1"/>
    <col min="39" max="39" width="10.875" style="3"/>
    <col min="41" max="41" width="25.125" customWidth="1"/>
    <col min="42" max="42" width="15.5" customWidth="1"/>
    <col min="43" max="43" width="16.125" style="35" customWidth="1"/>
    <col min="44" max="44" width="17.5" style="28" customWidth="1"/>
    <col min="45" max="45" width="18.375" style="28" customWidth="1"/>
    <col min="46" max="46" width="20.875" style="28" customWidth="1"/>
    <col min="47" max="47" width="19.5" style="28" customWidth="1"/>
    <col min="48" max="48" width="32.625" customWidth="1"/>
    <col min="49" max="49" width="20.5" style="28" customWidth="1"/>
    <col min="50" max="50" width="21.625" customWidth="1"/>
    <col min="51" max="51" width="22.625" customWidth="1"/>
    <col min="52" max="52" width="38.875" style="28" customWidth="1"/>
    <col min="53" max="53" width="10.875" style="28"/>
  </cols>
  <sheetData>
    <row r="1" spans="1:54" s="11" customFormat="1">
      <c r="A1" s="9" t="s">
        <v>2</v>
      </c>
      <c r="B1" s="9" t="s">
        <v>18</v>
      </c>
      <c r="C1" s="9" t="s">
        <v>246</v>
      </c>
      <c r="D1" s="9" t="s">
        <v>20</v>
      </c>
      <c r="E1" s="9" t="s">
        <v>0</v>
      </c>
      <c r="F1" s="10" t="s">
        <v>32</v>
      </c>
      <c r="G1" s="13" t="s">
        <v>33</v>
      </c>
      <c r="H1" s="9" t="s">
        <v>34</v>
      </c>
      <c r="I1" s="9" t="s">
        <v>1</v>
      </c>
      <c r="J1" s="9" t="s">
        <v>35</v>
      </c>
      <c r="K1" s="9" t="s">
        <v>36</v>
      </c>
      <c r="L1" s="9" t="s">
        <v>37</v>
      </c>
      <c r="M1" s="9" t="s">
        <v>38</v>
      </c>
      <c r="N1" s="11" t="s">
        <v>78</v>
      </c>
      <c r="O1" s="14" t="s">
        <v>248</v>
      </c>
      <c r="P1" s="9" t="s">
        <v>6</v>
      </c>
      <c r="Q1" s="9" t="s">
        <v>7</v>
      </c>
      <c r="R1" s="9" t="s">
        <v>23</v>
      </c>
      <c r="S1" s="9" t="s">
        <v>25</v>
      </c>
      <c r="T1" s="9" t="s">
        <v>3</v>
      </c>
      <c r="U1" s="9" t="s">
        <v>264</v>
      </c>
      <c r="V1" s="9" t="s">
        <v>41</v>
      </c>
      <c r="W1" s="9" t="s">
        <v>59</v>
      </c>
      <c r="X1" s="9" t="s">
        <v>42</v>
      </c>
      <c r="Y1" s="9" t="s">
        <v>265</v>
      </c>
      <c r="Z1" s="9" t="s">
        <v>24</v>
      </c>
      <c r="AA1" s="9" t="s">
        <v>266</v>
      </c>
      <c r="AB1" s="9" t="s">
        <v>43</v>
      </c>
      <c r="AC1" s="15" t="s">
        <v>107</v>
      </c>
      <c r="AD1" s="15" t="s">
        <v>11</v>
      </c>
      <c r="AE1" s="9" t="s">
        <v>60</v>
      </c>
      <c r="AF1" s="9" t="s">
        <v>267</v>
      </c>
      <c r="AG1" s="9" t="s">
        <v>28</v>
      </c>
      <c r="AH1" s="9" t="s">
        <v>29</v>
      </c>
      <c r="AI1" s="9" t="s">
        <v>30</v>
      </c>
      <c r="AJ1" s="9" t="s">
        <v>4</v>
      </c>
      <c r="AK1" s="9" t="s">
        <v>27</v>
      </c>
      <c r="AL1" s="9" t="s">
        <v>49</v>
      </c>
      <c r="AM1" s="31" t="s">
        <v>55</v>
      </c>
      <c r="AN1" s="9" t="s">
        <v>56</v>
      </c>
      <c r="AO1" s="9" t="s">
        <v>5</v>
      </c>
      <c r="AP1" s="9" t="s">
        <v>8</v>
      </c>
      <c r="AQ1" s="33" t="s">
        <v>31</v>
      </c>
      <c r="AR1" s="9" t="s">
        <v>15</v>
      </c>
      <c r="AS1" s="9" t="s">
        <v>12</v>
      </c>
      <c r="AT1" s="9" t="s">
        <v>13</v>
      </c>
      <c r="AU1" s="9" t="s">
        <v>74</v>
      </c>
      <c r="AV1" s="9" t="s">
        <v>44</v>
      </c>
      <c r="AW1" s="9" t="s">
        <v>52</v>
      </c>
      <c r="AX1" s="9" t="s">
        <v>14</v>
      </c>
      <c r="AY1" s="9" t="s">
        <v>39</v>
      </c>
      <c r="AZ1" s="9" t="s">
        <v>40</v>
      </c>
      <c r="BA1" s="9" t="s">
        <v>16</v>
      </c>
      <c r="BB1" s="9" t="s">
        <v>17</v>
      </c>
    </row>
    <row r="2" spans="1:54">
      <c r="A2">
        <v>2019</v>
      </c>
      <c r="B2" s="2">
        <v>43845</v>
      </c>
      <c r="C2" s="2" t="s">
        <v>70</v>
      </c>
      <c r="D2" s="2" t="s">
        <v>106</v>
      </c>
      <c r="E2" s="12">
        <v>28835</v>
      </c>
      <c r="F2" s="18">
        <f ca="1">YEARFRAC(E2,TODAY())</f>
        <v>47.222222222222221</v>
      </c>
      <c r="G2" s="20">
        <v>20.09</v>
      </c>
      <c r="H2" s="1" t="s">
        <v>45</v>
      </c>
      <c r="I2" s="18" t="s">
        <v>46</v>
      </c>
      <c r="J2" s="1">
        <v>0</v>
      </c>
      <c r="K2" s="18">
        <v>0</v>
      </c>
      <c r="L2" s="1"/>
      <c r="M2" s="3">
        <v>0</v>
      </c>
      <c r="N2">
        <v>0</v>
      </c>
      <c r="O2" s="18">
        <v>0</v>
      </c>
      <c r="P2" s="18">
        <v>0</v>
      </c>
      <c r="Q2" s="18">
        <v>0</v>
      </c>
      <c r="R2" s="18">
        <v>0</v>
      </c>
      <c r="S2" s="18">
        <v>1</v>
      </c>
      <c r="T2" s="1" t="s">
        <v>26</v>
      </c>
      <c r="U2" s="18">
        <v>1</v>
      </c>
      <c r="V2" s="18">
        <v>0</v>
      </c>
      <c r="W2" s="1">
        <v>0</v>
      </c>
      <c r="X2" s="1">
        <v>0</v>
      </c>
      <c r="Y2" s="18">
        <v>1</v>
      </c>
      <c r="Z2" s="18">
        <v>0</v>
      </c>
      <c r="AA2" s="18">
        <v>0</v>
      </c>
      <c r="AB2" s="18">
        <v>0</v>
      </c>
      <c r="AC2" s="18">
        <v>1</v>
      </c>
      <c r="AD2" s="18">
        <v>1</v>
      </c>
      <c r="AE2" s="18">
        <v>1</v>
      </c>
      <c r="AF2" s="18">
        <v>0</v>
      </c>
      <c r="AG2" s="18">
        <v>1</v>
      </c>
      <c r="AH2" s="18">
        <v>0</v>
      </c>
      <c r="AI2" s="18">
        <v>0</v>
      </c>
      <c r="AJ2" s="18" t="s">
        <v>85</v>
      </c>
      <c r="AK2" s="18">
        <v>2</v>
      </c>
      <c r="AL2" s="18">
        <v>0</v>
      </c>
      <c r="AM2" s="32" t="s">
        <v>258</v>
      </c>
      <c r="AN2" s="1" t="s">
        <v>105</v>
      </c>
      <c r="AO2" s="1" t="s">
        <v>108</v>
      </c>
      <c r="AP2" s="1">
        <v>0</v>
      </c>
      <c r="AQ2" s="36">
        <v>45754</v>
      </c>
      <c r="AR2" s="27" t="s">
        <v>50</v>
      </c>
      <c r="AS2" s="27" t="s">
        <v>255</v>
      </c>
      <c r="AT2" s="27"/>
      <c r="AU2" s="27"/>
      <c r="AV2" s="1">
        <v>0</v>
      </c>
      <c r="AW2" s="27">
        <v>0</v>
      </c>
      <c r="AX2" s="1"/>
      <c r="AY2" s="1">
        <v>0</v>
      </c>
      <c r="AZ2" s="27">
        <v>0</v>
      </c>
      <c r="BA2" s="28">
        <v>200</v>
      </c>
      <c r="BB2" t="s">
        <v>77</v>
      </c>
    </row>
    <row r="3" spans="1:54">
      <c r="A3" t="s">
        <v>111</v>
      </c>
      <c r="B3" s="2">
        <v>43868</v>
      </c>
      <c r="C3" s="2" t="s">
        <v>247</v>
      </c>
      <c r="D3" s="2" t="s">
        <v>109</v>
      </c>
      <c r="E3" s="2">
        <v>30389</v>
      </c>
      <c r="F3" s="18">
        <f t="shared" ref="F3:F20" ca="1" si="0">YEARFRAC(E3,TODAY())</f>
        <v>42.963888888888889</v>
      </c>
      <c r="G3" s="5">
        <v>24.72</v>
      </c>
      <c r="H3" t="s">
        <v>45</v>
      </c>
      <c r="I3" s="23" t="s">
        <v>46</v>
      </c>
      <c r="J3">
        <v>0</v>
      </c>
      <c r="K3" s="3">
        <v>0</v>
      </c>
      <c r="L3" s="2"/>
      <c r="M3" s="3">
        <v>0</v>
      </c>
      <c r="N3">
        <v>0</v>
      </c>
      <c r="O3" s="3">
        <v>0</v>
      </c>
      <c r="P3" s="3">
        <v>0</v>
      </c>
      <c r="Q3" s="3">
        <v>0</v>
      </c>
      <c r="R3" s="3">
        <v>1</v>
      </c>
      <c r="S3" s="3">
        <v>0</v>
      </c>
      <c r="T3" t="s">
        <v>26</v>
      </c>
      <c r="U3" s="3">
        <v>1</v>
      </c>
      <c r="V3" s="3">
        <v>0</v>
      </c>
      <c r="W3">
        <v>0</v>
      </c>
      <c r="X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1</v>
      </c>
      <c r="AE3" s="3" t="s">
        <v>111</v>
      </c>
      <c r="AF3" s="3" t="s">
        <v>111</v>
      </c>
      <c r="AG3" s="3" t="s">
        <v>111</v>
      </c>
      <c r="AH3" s="3" t="s">
        <v>111</v>
      </c>
      <c r="AI3" s="3" t="s">
        <v>111</v>
      </c>
      <c r="AJ3" s="3" t="s">
        <v>111</v>
      </c>
      <c r="AK3" s="3">
        <v>2</v>
      </c>
      <c r="AL3" s="3">
        <v>0</v>
      </c>
      <c r="AM3" s="3" t="s">
        <v>111</v>
      </c>
      <c r="AN3" t="s">
        <v>111</v>
      </c>
      <c r="AO3" t="s">
        <v>111</v>
      </c>
      <c r="AP3">
        <v>0</v>
      </c>
      <c r="AQ3" s="34">
        <v>44581</v>
      </c>
      <c r="AR3" s="28" t="s">
        <v>54</v>
      </c>
      <c r="AV3" t="s">
        <v>110</v>
      </c>
      <c r="AW3" s="28">
        <v>0</v>
      </c>
      <c r="AY3">
        <v>0</v>
      </c>
      <c r="AZ3" s="28">
        <v>0</v>
      </c>
      <c r="BA3" s="28">
        <v>440</v>
      </c>
      <c r="BB3" t="s">
        <v>77</v>
      </c>
    </row>
    <row r="4" spans="1:54">
      <c r="A4">
        <v>2020</v>
      </c>
      <c r="B4" s="2">
        <v>44027</v>
      </c>
      <c r="C4" s="2" t="s">
        <v>70</v>
      </c>
      <c r="D4" t="s">
        <v>115</v>
      </c>
      <c r="E4" s="2">
        <v>31680</v>
      </c>
      <c r="F4" s="18">
        <f t="shared" ca="1" si="0"/>
        <v>39.43333333333333</v>
      </c>
      <c r="G4" s="5">
        <v>22.87</v>
      </c>
      <c r="H4" t="s">
        <v>45</v>
      </c>
      <c r="I4" s="23" t="s">
        <v>71</v>
      </c>
      <c r="J4">
        <v>0</v>
      </c>
      <c r="K4" s="3">
        <v>0</v>
      </c>
      <c r="L4" s="2"/>
      <c r="M4" s="3">
        <v>0</v>
      </c>
      <c r="N4">
        <v>0</v>
      </c>
      <c r="O4" s="3">
        <v>0</v>
      </c>
      <c r="P4" s="3">
        <v>0</v>
      </c>
      <c r="Q4" s="3">
        <v>0</v>
      </c>
      <c r="R4" s="3">
        <v>0</v>
      </c>
      <c r="S4" s="3">
        <v>1</v>
      </c>
      <c r="T4" t="s">
        <v>26</v>
      </c>
      <c r="U4" s="3">
        <v>1</v>
      </c>
      <c r="V4" s="3">
        <v>0</v>
      </c>
      <c r="W4">
        <v>0</v>
      </c>
      <c r="X4">
        <v>0</v>
      </c>
      <c r="Y4" s="3">
        <v>0</v>
      </c>
      <c r="Z4" s="3">
        <v>0</v>
      </c>
      <c r="AA4" s="3">
        <v>0</v>
      </c>
      <c r="AB4" s="3">
        <v>0</v>
      </c>
      <c r="AC4" s="3">
        <v>1</v>
      </c>
      <c r="AD4" s="3">
        <v>1</v>
      </c>
      <c r="AE4" s="3">
        <v>1</v>
      </c>
      <c r="AF4" s="3">
        <v>0</v>
      </c>
      <c r="AG4" s="3">
        <v>1</v>
      </c>
      <c r="AH4" s="3">
        <v>1</v>
      </c>
      <c r="AI4" s="3">
        <v>0</v>
      </c>
      <c r="AJ4" s="3" t="s">
        <v>85</v>
      </c>
      <c r="AK4" s="3">
        <v>2</v>
      </c>
      <c r="AL4" s="3">
        <v>0</v>
      </c>
      <c r="AM4" s="3" t="s">
        <v>172</v>
      </c>
      <c r="AN4" t="s">
        <v>114</v>
      </c>
      <c r="AO4" s="6" t="s">
        <v>116</v>
      </c>
      <c r="AP4">
        <v>0</v>
      </c>
      <c r="AQ4" s="34">
        <v>44775</v>
      </c>
      <c r="AR4" s="28" t="s">
        <v>50</v>
      </c>
      <c r="AS4" s="28" t="s">
        <v>121</v>
      </c>
      <c r="AT4" s="28" t="s">
        <v>117</v>
      </c>
      <c r="AU4" s="28" t="s">
        <v>67</v>
      </c>
      <c r="AV4">
        <v>0</v>
      </c>
      <c r="AW4" s="28">
        <v>1</v>
      </c>
      <c r="AX4" t="s">
        <v>113</v>
      </c>
      <c r="AY4">
        <v>1</v>
      </c>
      <c r="AZ4" s="28">
        <v>1</v>
      </c>
      <c r="BA4" s="28">
        <v>300</v>
      </c>
      <c r="BB4" t="s">
        <v>77</v>
      </c>
    </row>
    <row r="5" spans="1:54">
      <c r="A5">
        <v>2019</v>
      </c>
      <c r="B5" s="2">
        <v>44048</v>
      </c>
      <c r="C5" s="2" t="s">
        <v>249</v>
      </c>
      <c r="D5" t="s">
        <v>123</v>
      </c>
      <c r="E5" s="2">
        <v>23434</v>
      </c>
      <c r="F5" s="18">
        <f t="shared" ca="1" si="0"/>
        <v>62.011111111111113</v>
      </c>
      <c r="G5" s="5">
        <v>24.57</v>
      </c>
      <c r="H5" t="s">
        <v>45</v>
      </c>
      <c r="I5" s="23" t="s">
        <v>46</v>
      </c>
      <c r="J5">
        <v>1</v>
      </c>
      <c r="K5" s="3">
        <v>0</v>
      </c>
      <c r="L5" s="2"/>
      <c r="M5" s="3">
        <v>1</v>
      </c>
      <c r="N5">
        <v>0</v>
      </c>
      <c r="O5" s="3">
        <v>0</v>
      </c>
      <c r="P5" s="3">
        <v>0</v>
      </c>
      <c r="Q5" s="3">
        <v>0</v>
      </c>
      <c r="R5" s="3">
        <v>1</v>
      </c>
      <c r="S5" s="3">
        <v>0</v>
      </c>
      <c r="T5" t="s">
        <v>26</v>
      </c>
      <c r="U5" s="3">
        <v>1</v>
      </c>
      <c r="V5" s="3">
        <v>0</v>
      </c>
      <c r="W5">
        <v>0</v>
      </c>
      <c r="X5">
        <v>0</v>
      </c>
      <c r="Y5" s="3">
        <v>1</v>
      </c>
      <c r="Z5" s="3">
        <v>0</v>
      </c>
      <c r="AA5" s="3">
        <v>0</v>
      </c>
      <c r="AB5" s="3">
        <v>1</v>
      </c>
      <c r="AC5" s="3">
        <v>1</v>
      </c>
      <c r="AD5" s="3">
        <v>1</v>
      </c>
      <c r="AE5" s="3">
        <v>1</v>
      </c>
      <c r="AF5" s="3">
        <v>0</v>
      </c>
      <c r="AG5" s="3">
        <v>1</v>
      </c>
      <c r="AH5" s="3">
        <v>1</v>
      </c>
      <c r="AI5" s="3">
        <v>0</v>
      </c>
      <c r="AJ5" s="3" t="s">
        <v>85</v>
      </c>
      <c r="AK5" s="3">
        <v>1</v>
      </c>
      <c r="AL5" s="3">
        <v>1</v>
      </c>
      <c r="AM5" s="3" t="s">
        <v>220</v>
      </c>
      <c r="AN5" t="s">
        <v>118</v>
      </c>
      <c r="AO5" t="s">
        <v>120</v>
      </c>
      <c r="AP5">
        <v>0</v>
      </c>
      <c r="AQ5" s="34">
        <v>45000</v>
      </c>
      <c r="AR5" s="28" t="s">
        <v>50</v>
      </c>
      <c r="AS5" s="28" t="s">
        <v>121</v>
      </c>
      <c r="AT5" s="28" t="s">
        <v>63</v>
      </c>
      <c r="AV5" t="s">
        <v>119</v>
      </c>
      <c r="AW5" s="28">
        <v>1</v>
      </c>
      <c r="AX5" t="s">
        <v>122</v>
      </c>
      <c r="AY5">
        <v>1</v>
      </c>
      <c r="AZ5" s="28">
        <v>1</v>
      </c>
      <c r="BA5" s="28">
        <v>425</v>
      </c>
      <c r="BB5" t="s">
        <v>77</v>
      </c>
    </row>
    <row r="6" spans="1:54">
      <c r="B6" s="2">
        <v>44127</v>
      </c>
      <c r="C6" s="2" t="s">
        <v>245</v>
      </c>
      <c r="D6" t="s">
        <v>124</v>
      </c>
      <c r="E6" s="2">
        <v>24739</v>
      </c>
      <c r="F6" s="18">
        <f t="shared" ca="1" si="0"/>
        <v>58.43611111111111</v>
      </c>
      <c r="G6" s="5">
        <v>17.78</v>
      </c>
      <c r="H6" t="s">
        <v>45</v>
      </c>
      <c r="I6" s="23" t="s">
        <v>46</v>
      </c>
      <c r="J6">
        <v>0</v>
      </c>
      <c r="K6" s="3">
        <v>0</v>
      </c>
      <c r="L6" s="2"/>
      <c r="M6" s="3">
        <v>0</v>
      </c>
      <c r="N6">
        <v>0</v>
      </c>
      <c r="O6" s="3">
        <v>0</v>
      </c>
      <c r="P6" s="3" t="s">
        <v>93</v>
      </c>
      <c r="Q6" s="3">
        <v>1</v>
      </c>
      <c r="R6" s="3">
        <v>1</v>
      </c>
      <c r="S6" s="3">
        <v>0</v>
      </c>
      <c r="T6" t="s">
        <v>26</v>
      </c>
      <c r="U6" s="3">
        <v>1</v>
      </c>
      <c r="V6" s="3">
        <v>0</v>
      </c>
      <c r="W6">
        <v>0</v>
      </c>
      <c r="X6">
        <v>0</v>
      </c>
      <c r="Y6" s="25">
        <v>0</v>
      </c>
      <c r="Z6" s="25">
        <v>0</v>
      </c>
      <c r="AA6" s="25">
        <v>0</v>
      </c>
      <c r="AB6" s="25">
        <v>0</v>
      </c>
      <c r="AC6" s="25">
        <v>0</v>
      </c>
      <c r="AD6" s="3">
        <v>1</v>
      </c>
      <c r="AE6" s="3">
        <v>0</v>
      </c>
      <c r="AF6" s="3">
        <v>0</v>
      </c>
      <c r="AG6" s="3" t="s">
        <v>111</v>
      </c>
      <c r="AH6" s="3" t="s">
        <v>111</v>
      </c>
      <c r="AI6" s="3" t="s">
        <v>111</v>
      </c>
      <c r="AJ6" s="25" t="s">
        <v>111</v>
      </c>
      <c r="AK6" s="3">
        <v>2</v>
      </c>
      <c r="AL6" s="25" t="s">
        <v>111</v>
      </c>
      <c r="AM6" s="3" t="s">
        <v>111</v>
      </c>
      <c r="AN6" s="16" t="s">
        <v>111</v>
      </c>
      <c r="AO6" s="16" t="s">
        <v>111</v>
      </c>
      <c r="AP6">
        <v>0</v>
      </c>
      <c r="AQ6" s="34">
        <v>45950</v>
      </c>
      <c r="AR6" s="29" t="s">
        <v>54</v>
      </c>
      <c r="AV6">
        <v>0</v>
      </c>
      <c r="AW6" s="28">
        <v>1</v>
      </c>
      <c r="AX6" t="s">
        <v>125</v>
      </c>
      <c r="AY6">
        <v>1</v>
      </c>
      <c r="AZ6" s="28">
        <v>1</v>
      </c>
      <c r="BA6" s="28">
        <v>170</v>
      </c>
      <c r="BB6" t="s">
        <v>77</v>
      </c>
    </row>
    <row r="7" spans="1:54">
      <c r="A7">
        <v>2020</v>
      </c>
      <c r="B7" s="2">
        <v>44153</v>
      </c>
      <c r="C7" s="2" t="s">
        <v>70</v>
      </c>
      <c r="D7" t="s">
        <v>126</v>
      </c>
      <c r="E7" s="2">
        <v>32050</v>
      </c>
      <c r="F7" s="18">
        <f t="shared" ca="1" si="0"/>
        <v>38.419444444444444</v>
      </c>
      <c r="G7" s="5">
        <v>21.96</v>
      </c>
      <c r="H7" t="s">
        <v>45</v>
      </c>
      <c r="I7" s="23" t="s">
        <v>46</v>
      </c>
      <c r="J7">
        <v>0</v>
      </c>
      <c r="K7" s="3">
        <v>0</v>
      </c>
      <c r="L7" s="2"/>
      <c r="M7" s="3">
        <v>0</v>
      </c>
      <c r="N7">
        <v>0</v>
      </c>
      <c r="O7" s="3">
        <v>0</v>
      </c>
      <c r="P7" s="3">
        <v>0</v>
      </c>
      <c r="Q7" s="3">
        <v>1</v>
      </c>
      <c r="R7" s="3">
        <v>1</v>
      </c>
      <c r="S7" s="3">
        <v>0</v>
      </c>
      <c r="T7" t="s">
        <v>26</v>
      </c>
      <c r="U7" s="3">
        <v>1</v>
      </c>
      <c r="V7" s="3">
        <v>0</v>
      </c>
      <c r="W7">
        <v>0</v>
      </c>
      <c r="X7">
        <v>0</v>
      </c>
      <c r="Y7" s="3">
        <v>1</v>
      </c>
      <c r="Z7" s="3">
        <v>0</v>
      </c>
      <c r="AA7" s="3">
        <v>0</v>
      </c>
      <c r="AB7" s="3">
        <v>0</v>
      </c>
      <c r="AC7" s="3">
        <v>0</v>
      </c>
      <c r="AD7" s="3">
        <v>1</v>
      </c>
      <c r="AE7" s="3">
        <v>1</v>
      </c>
      <c r="AF7" s="3">
        <v>0</v>
      </c>
      <c r="AG7" s="3">
        <v>0</v>
      </c>
      <c r="AH7" s="3">
        <v>0</v>
      </c>
      <c r="AI7" s="3">
        <v>0</v>
      </c>
      <c r="AJ7" s="3" t="s">
        <v>85</v>
      </c>
      <c r="AK7" s="3">
        <v>2</v>
      </c>
      <c r="AL7" s="3">
        <v>1</v>
      </c>
      <c r="AM7" s="3" t="s">
        <v>172</v>
      </c>
      <c r="AN7" t="s">
        <v>127</v>
      </c>
      <c r="AO7" t="s">
        <v>128</v>
      </c>
      <c r="AP7">
        <v>0</v>
      </c>
      <c r="AQ7" s="34">
        <v>45028</v>
      </c>
      <c r="AR7" s="28" t="s">
        <v>54</v>
      </c>
      <c r="AS7" s="28" t="s">
        <v>255</v>
      </c>
      <c r="AV7">
        <v>0</v>
      </c>
      <c r="AW7" s="28">
        <v>0</v>
      </c>
      <c r="AY7">
        <v>0</v>
      </c>
      <c r="AZ7" s="28">
        <v>0</v>
      </c>
      <c r="BA7" s="28">
        <v>240</v>
      </c>
      <c r="BB7" t="s">
        <v>77</v>
      </c>
    </row>
    <row r="8" spans="1:54">
      <c r="A8" s="16" t="s">
        <v>111</v>
      </c>
      <c r="B8" s="2">
        <v>44169</v>
      </c>
      <c r="C8" s="2" t="s">
        <v>247</v>
      </c>
      <c r="D8" t="s">
        <v>129</v>
      </c>
      <c r="E8" s="2">
        <v>30752</v>
      </c>
      <c r="F8" s="18">
        <f t="shared" ca="1" si="0"/>
        <v>41.972222222222221</v>
      </c>
      <c r="G8" s="5">
        <v>21.97</v>
      </c>
      <c r="H8" t="s">
        <v>45</v>
      </c>
      <c r="I8" s="23" t="s">
        <v>46</v>
      </c>
      <c r="J8">
        <v>0</v>
      </c>
      <c r="K8" s="3">
        <v>0</v>
      </c>
      <c r="L8" s="2"/>
      <c r="M8" s="3">
        <v>0</v>
      </c>
      <c r="N8">
        <v>0</v>
      </c>
      <c r="O8" s="3">
        <v>0</v>
      </c>
      <c r="P8" s="3">
        <v>0</v>
      </c>
      <c r="Q8" s="3">
        <v>0</v>
      </c>
      <c r="R8" s="3">
        <v>1</v>
      </c>
      <c r="S8" s="3">
        <v>0</v>
      </c>
      <c r="T8" t="s">
        <v>26</v>
      </c>
      <c r="U8" s="3">
        <v>1</v>
      </c>
      <c r="V8" s="3">
        <v>0</v>
      </c>
      <c r="W8">
        <v>0</v>
      </c>
      <c r="X8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1</v>
      </c>
      <c r="AE8" s="3" t="s">
        <v>111</v>
      </c>
      <c r="AF8" s="3" t="s">
        <v>111</v>
      </c>
      <c r="AG8" s="3" t="s">
        <v>111</v>
      </c>
      <c r="AH8" s="3" t="s">
        <v>111</v>
      </c>
      <c r="AI8" s="3" t="s">
        <v>111</v>
      </c>
      <c r="AJ8" s="3" t="s">
        <v>111</v>
      </c>
      <c r="AK8" s="3">
        <v>2</v>
      </c>
      <c r="AL8" s="3" t="s">
        <v>111</v>
      </c>
      <c r="AM8" s="3" t="s">
        <v>111</v>
      </c>
      <c r="AN8" t="s">
        <v>111</v>
      </c>
      <c r="AO8" t="s">
        <v>111</v>
      </c>
      <c r="AP8">
        <v>0</v>
      </c>
      <c r="AQ8" s="34">
        <v>45419</v>
      </c>
      <c r="AR8" s="28" t="s">
        <v>50</v>
      </c>
      <c r="AS8" s="28" t="s">
        <v>63</v>
      </c>
      <c r="AV8" t="s">
        <v>130</v>
      </c>
      <c r="AW8" s="28">
        <v>1</v>
      </c>
      <c r="AX8" t="s">
        <v>131</v>
      </c>
      <c r="AY8">
        <v>0</v>
      </c>
      <c r="AZ8" s="28">
        <v>0</v>
      </c>
      <c r="BA8" s="28">
        <v>385</v>
      </c>
      <c r="BB8" t="s">
        <v>77</v>
      </c>
    </row>
    <row r="9" spans="1:54">
      <c r="A9">
        <v>2020</v>
      </c>
      <c r="B9" s="2">
        <v>44188</v>
      </c>
      <c r="C9" s="2" t="s">
        <v>70</v>
      </c>
      <c r="D9" t="s">
        <v>106</v>
      </c>
      <c r="E9" s="2">
        <v>34748</v>
      </c>
      <c r="F9" s="18">
        <f t="shared" ca="1" si="0"/>
        <v>31.036111111111111</v>
      </c>
      <c r="G9" s="5">
        <v>22.31</v>
      </c>
      <c r="H9" t="s">
        <v>45</v>
      </c>
      <c r="I9" s="23" t="s">
        <v>46</v>
      </c>
      <c r="J9">
        <v>0</v>
      </c>
      <c r="K9" s="3">
        <v>0</v>
      </c>
      <c r="L9" s="2"/>
      <c r="M9" s="3">
        <v>0</v>
      </c>
      <c r="N9">
        <v>0</v>
      </c>
      <c r="O9" s="3">
        <v>0</v>
      </c>
      <c r="P9" s="3">
        <v>0</v>
      </c>
      <c r="Q9" s="3">
        <v>0</v>
      </c>
      <c r="R9" s="3">
        <v>1</v>
      </c>
      <c r="S9" s="3">
        <v>0</v>
      </c>
      <c r="T9" t="s">
        <v>26</v>
      </c>
      <c r="U9" s="3">
        <v>1</v>
      </c>
      <c r="V9" s="3">
        <v>0</v>
      </c>
      <c r="W9">
        <v>0</v>
      </c>
      <c r="X9">
        <v>0</v>
      </c>
      <c r="Y9" s="3">
        <v>1</v>
      </c>
      <c r="Z9" s="3">
        <v>1</v>
      </c>
      <c r="AA9" s="3">
        <v>1</v>
      </c>
      <c r="AB9" s="3">
        <v>1</v>
      </c>
      <c r="AC9" s="3">
        <v>1</v>
      </c>
      <c r="AD9" s="3">
        <v>1</v>
      </c>
      <c r="AE9" s="3">
        <v>1</v>
      </c>
      <c r="AF9" s="3">
        <v>1</v>
      </c>
      <c r="AG9" s="3">
        <v>1</v>
      </c>
      <c r="AH9" s="3">
        <v>1</v>
      </c>
      <c r="AI9" s="3">
        <v>1</v>
      </c>
      <c r="AJ9" s="3" t="s">
        <v>85</v>
      </c>
      <c r="AK9" s="3">
        <v>0</v>
      </c>
      <c r="AL9" s="3">
        <v>0</v>
      </c>
      <c r="AM9" s="3" t="s">
        <v>101</v>
      </c>
      <c r="AN9" s="6" t="s">
        <v>132</v>
      </c>
      <c r="AO9" t="s">
        <v>134</v>
      </c>
      <c r="AP9">
        <v>0</v>
      </c>
      <c r="AQ9" s="34">
        <v>45699</v>
      </c>
      <c r="AR9" s="28" t="s">
        <v>54</v>
      </c>
      <c r="AV9">
        <v>0</v>
      </c>
      <c r="AW9" s="28">
        <v>0</v>
      </c>
      <c r="AY9">
        <v>0</v>
      </c>
      <c r="AZ9" s="28">
        <v>0</v>
      </c>
      <c r="BA9" s="28">
        <v>205</v>
      </c>
      <c r="BB9" t="s">
        <v>77</v>
      </c>
    </row>
    <row r="10" spans="1:54">
      <c r="A10">
        <v>2020</v>
      </c>
      <c r="B10" s="2">
        <v>44141</v>
      </c>
      <c r="C10" s="2" t="s">
        <v>250</v>
      </c>
      <c r="D10" t="s">
        <v>135</v>
      </c>
      <c r="E10" s="2">
        <v>23602</v>
      </c>
      <c r="F10" s="18">
        <f t="shared" ca="1" si="0"/>
        <v>61.55</v>
      </c>
      <c r="G10" s="5">
        <v>19.91</v>
      </c>
      <c r="H10" t="s">
        <v>45</v>
      </c>
      <c r="I10" s="23" t="s">
        <v>46</v>
      </c>
      <c r="J10">
        <v>0</v>
      </c>
      <c r="K10" s="3">
        <v>0</v>
      </c>
      <c r="L10" s="2"/>
      <c r="M10" s="3">
        <v>0</v>
      </c>
      <c r="N10">
        <v>0</v>
      </c>
      <c r="O10" s="3">
        <v>0</v>
      </c>
      <c r="P10" s="3">
        <v>0</v>
      </c>
      <c r="Q10" s="3">
        <v>1</v>
      </c>
      <c r="R10" s="3">
        <v>1</v>
      </c>
      <c r="S10" s="3">
        <v>0</v>
      </c>
      <c r="T10" t="s">
        <v>26</v>
      </c>
      <c r="U10" s="3">
        <v>1</v>
      </c>
      <c r="V10" s="3">
        <v>0</v>
      </c>
      <c r="W10">
        <v>0</v>
      </c>
      <c r="X10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1</v>
      </c>
      <c r="AE10" s="3">
        <v>1</v>
      </c>
      <c r="AF10" s="3">
        <v>0</v>
      </c>
      <c r="AG10" s="3">
        <v>1</v>
      </c>
      <c r="AH10" s="3">
        <v>1</v>
      </c>
      <c r="AI10" s="3">
        <v>0</v>
      </c>
      <c r="AJ10" s="3" t="s">
        <v>111</v>
      </c>
      <c r="AK10" s="3">
        <v>2</v>
      </c>
      <c r="AL10" s="3">
        <v>0</v>
      </c>
      <c r="AM10" s="3">
        <v>0</v>
      </c>
      <c r="AN10" t="s">
        <v>138</v>
      </c>
      <c r="AO10" t="s">
        <v>137</v>
      </c>
      <c r="AP10">
        <v>0</v>
      </c>
      <c r="AQ10" s="34">
        <v>46056</v>
      </c>
      <c r="AR10" s="28" t="s">
        <v>54</v>
      </c>
      <c r="AS10" s="28" t="s">
        <v>256</v>
      </c>
      <c r="AV10" t="s">
        <v>136</v>
      </c>
      <c r="AW10" s="28">
        <v>0</v>
      </c>
      <c r="AY10">
        <v>0</v>
      </c>
      <c r="AZ10" s="28">
        <v>0</v>
      </c>
      <c r="BA10" s="28">
        <v>330</v>
      </c>
      <c r="BB10" t="s">
        <v>77</v>
      </c>
    </row>
    <row r="11" spans="1:54">
      <c r="A11">
        <v>2020</v>
      </c>
      <c r="B11" s="2">
        <v>44027</v>
      </c>
      <c r="C11" s="2" t="s">
        <v>70</v>
      </c>
      <c r="D11" t="s">
        <v>115</v>
      </c>
      <c r="E11" s="2">
        <v>31680</v>
      </c>
      <c r="F11" s="18">
        <f t="shared" ca="1" si="0"/>
        <v>39.43333333333333</v>
      </c>
      <c r="G11" s="5">
        <v>22.87</v>
      </c>
      <c r="H11" t="s">
        <v>45</v>
      </c>
      <c r="I11" s="23" t="s">
        <v>71</v>
      </c>
      <c r="J11">
        <v>0</v>
      </c>
      <c r="K11" s="3">
        <v>0</v>
      </c>
      <c r="L11" s="2"/>
      <c r="M11" s="3">
        <v>0</v>
      </c>
      <c r="N11">
        <v>0</v>
      </c>
      <c r="O11" s="3">
        <v>0</v>
      </c>
      <c r="P11" s="3">
        <v>0</v>
      </c>
      <c r="Q11" s="3">
        <v>0</v>
      </c>
      <c r="R11" s="3">
        <v>0</v>
      </c>
      <c r="S11" s="3">
        <v>1</v>
      </c>
      <c r="T11" t="s">
        <v>26</v>
      </c>
      <c r="U11" s="3">
        <v>1</v>
      </c>
      <c r="V11" s="3">
        <v>0</v>
      </c>
      <c r="W11">
        <v>0</v>
      </c>
      <c r="X11">
        <v>0</v>
      </c>
      <c r="Y11" s="3">
        <v>0</v>
      </c>
      <c r="Z11" s="3">
        <v>0</v>
      </c>
      <c r="AA11" s="3">
        <v>0</v>
      </c>
      <c r="AB11" s="3">
        <v>0</v>
      </c>
      <c r="AC11" s="3">
        <v>1</v>
      </c>
      <c r="AD11" s="3">
        <v>1</v>
      </c>
      <c r="AE11" s="3">
        <v>1</v>
      </c>
      <c r="AF11" s="19">
        <v>1</v>
      </c>
      <c r="AG11" s="3">
        <v>1</v>
      </c>
      <c r="AH11" s="3">
        <v>1</v>
      </c>
      <c r="AI11" s="3">
        <v>0</v>
      </c>
      <c r="AJ11" s="3" t="s">
        <v>85</v>
      </c>
      <c r="AK11" s="3">
        <v>2</v>
      </c>
      <c r="AL11" s="3">
        <v>0</v>
      </c>
      <c r="AM11" s="3" t="s">
        <v>172</v>
      </c>
      <c r="AN11" s="6" t="s">
        <v>140</v>
      </c>
      <c r="AO11" s="6" t="s">
        <v>141</v>
      </c>
      <c r="AP11">
        <v>0</v>
      </c>
      <c r="AQ11" s="34">
        <v>44775</v>
      </c>
      <c r="AR11" s="28" t="s">
        <v>50</v>
      </c>
      <c r="AS11" s="28" t="s">
        <v>210</v>
      </c>
      <c r="AT11" s="28" t="s">
        <v>255</v>
      </c>
      <c r="AU11" s="28" t="s">
        <v>67</v>
      </c>
      <c r="AV11">
        <v>0</v>
      </c>
      <c r="AW11" s="28">
        <v>1</v>
      </c>
      <c r="AX11" t="s">
        <v>142</v>
      </c>
      <c r="AY11">
        <v>1</v>
      </c>
      <c r="AZ11" s="28">
        <v>1</v>
      </c>
      <c r="BA11" s="28">
        <v>300</v>
      </c>
      <c r="BB11" t="s">
        <v>139</v>
      </c>
    </row>
    <row r="12" spans="1:54">
      <c r="A12">
        <v>2020</v>
      </c>
      <c r="B12" s="2">
        <v>44204</v>
      </c>
      <c r="C12" s="2" t="s">
        <v>70</v>
      </c>
      <c r="D12" t="s">
        <v>143</v>
      </c>
      <c r="E12" s="2">
        <v>19447</v>
      </c>
      <c r="F12" s="18">
        <f t="shared" ca="1" si="0"/>
        <v>72.922222222222217</v>
      </c>
      <c r="G12" s="5">
        <v>19.13</v>
      </c>
      <c r="H12" t="s">
        <v>45</v>
      </c>
      <c r="I12" s="23" t="s">
        <v>46</v>
      </c>
      <c r="J12">
        <v>1</v>
      </c>
      <c r="K12" s="3">
        <v>0</v>
      </c>
      <c r="M12" s="3">
        <v>1</v>
      </c>
      <c r="N12">
        <v>0</v>
      </c>
      <c r="O12" s="3">
        <v>0</v>
      </c>
      <c r="P12" s="3">
        <v>0</v>
      </c>
      <c r="Q12" s="3">
        <v>0</v>
      </c>
      <c r="R12" s="3">
        <v>0</v>
      </c>
      <c r="S12" s="3">
        <v>1</v>
      </c>
      <c r="T12" t="s">
        <v>26</v>
      </c>
      <c r="U12" s="3">
        <v>1</v>
      </c>
      <c r="V12" s="3">
        <v>0</v>
      </c>
      <c r="W12">
        <v>0</v>
      </c>
      <c r="X12">
        <v>0</v>
      </c>
      <c r="Y12" s="3">
        <v>0</v>
      </c>
      <c r="Z12" s="3">
        <v>0</v>
      </c>
      <c r="AA12" s="3">
        <v>0</v>
      </c>
      <c r="AB12" s="3">
        <v>0</v>
      </c>
      <c r="AC12" s="3">
        <v>1</v>
      </c>
      <c r="AD12" s="3">
        <v>1</v>
      </c>
      <c r="AE12" s="3">
        <v>1</v>
      </c>
      <c r="AF12" s="3">
        <v>0</v>
      </c>
      <c r="AG12" s="3">
        <v>1</v>
      </c>
      <c r="AH12" s="3">
        <v>1</v>
      </c>
      <c r="AI12" s="3">
        <v>0</v>
      </c>
      <c r="AJ12" s="3" t="s">
        <v>47</v>
      </c>
      <c r="AK12" s="3">
        <v>1</v>
      </c>
      <c r="AL12" s="3">
        <v>1</v>
      </c>
      <c r="AM12" s="3" t="s">
        <v>235</v>
      </c>
      <c r="AN12" s="6" t="s">
        <v>144</v>
      </c>
      <c r="AO12" t="s">
        <v>133</v>
      </c>
      <c r="AP12">
        <v>0</v>
      </c>
      <c r="AQ12" s="34">
        <v>45915</v>
      </c>
      <c r="AR12" s="28" t="s">
        <v>54</v>
      </c>
      <c r="AV12">
        <v>0</v>
      </c>
      <c r="AW12" s="28">
        <v>0</v>
      </c>
      <c r="AY12">
        <v>0</v>
      </c>
      <c r="AZ12" s="28">
        <v>0</v>
      </c>
      <c r="BA12" s="28">
        <v>250</v>
      </c>
      <c r="BB12" t="s">
        <v>77</v>
      </c>
    </row>
    <row r="13" spans="1:54">
      <c r="A13">
        <v>2020</v>
      </c>
      <c r="B13" s="2">
        <v>44251</v>
      </c>
      <c r="C13" s="2" t="s">
        <v>249</v>
      </c>
      <c r="D13" t="s">
        <v>145</v>
      </c>
      <c r="E13" s="2">
        <v>22058</v>
      </c>
      <c r="F13" s="18">
        <f t="shared" ca="1" si="0"/>
        <v>65.775000000000006</v>
      </c>
      <c r="G13" s="5">
        <v>21.48</v>
      </c>
      <c r="H13" t="s">
        <v>45</v>
      </c>
      <c r="I13" s="23" t="s">
        <v>46</v>
      </c>
      <c r="J13">
        <v>0</v>
      </c>
      <c r="K13" s="3">
        <v>0</v>
      </c>
      <c r="M13" s="3">
        <v>0</v>
      </c>
      <c r="N13">
        <v>0</v>
      </c>
      <c r="O13" s="3">
        <v>0</v>
      </c>
      <c r="P13" s="3" t="s">
        <v>93</v>
      </c>
      <c r="Q13" s="3">
        <v>1</v>
      </c>
      <c r="R13" s="3">
        <v>1</v>
      </c>
      <c r="S13" s="3">
        <v>0</v>
      </c>
      <c r="T13" t="s">
        <v>26</v>
      </c>
      <c r="U13" s="3">
        <v>0</v>
      </c>
      <c r="V13" s="3">
        <v>1</v>
      </c>
      <c r="W13">
        <v>1</v>
      </c>
      <c r="X1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1</v>
      </c>
      <c r="AE13" s="3">
        <v>1</v>
      </c>
      <c r="AF13" s="3">
        <v>0</v>
      </c>
      <c r="AG13" s="3">
        <v>1</v>
      </c>
      <c r="AH13" s="3">
        <v>1</v>
      </c>
      <c r="AI13" s="3">
        <v>0</v>
      </c>
      <c r="AJ13" s="3" t="s">
        <v>47</v>
      </c>
      <c r="AK13" s="3">
        <v>0</v>
      </c>
      <c r="AL13" s="3">
        <v>0</v>
      </c>
      <c r="AM13" s="3" t="s">
        <v>235</v>
      </c>
      <c r="AN13" s="6" t="s">
        <v>147</v>
      </c>
      <c r="AO13" t="s">
        <v>146</v>
      </c>
      <c r="AP13">
        <v>0</v>
      </c>
      <c r="AQ13" s="34">
        <v>45776</v>
      </c>
      <c r="AR13" s="28" t="s">
        <v>54</v>
      </c>
      <c r="AS13" s="30" t="s">
        <v>148</v>
      </c>
      <c r="AV13">
        <v>0</v>
      </c>
      <c r="AW13" s="28">
        <v>1</v>
      </c>
      <c r="AX13" t="s">
        <v>148</v>
      </c>
      <c r="AY13">
        <v>1</v>
      </c>
      <c r="AZ13" s="28">
        <v>1</v>
      </c>
      <c r="BA13" s="28">
        <v>375</v>
      </c>
      <c r="BB13" t="s">
        <v>77</v>
      </c>
    </row>
    <row r="14" spans="1:54">
      <c r="A14">
        <v>2020</v>
      </c>
      <c r="B14" s="2">
        <v>44321</v>
      </c>
      <c r="C14" s="2" t="s">
        <v>249</v>
      </c>
      <c r="D14" t="s">
        <v>149</v>
      </c>
      <c r="E14" s="2">
        <v>24201</v>
      </c>
      <c r="F14" s="18">
        <f t="shared" ca="1" si="0"/>
        <v>59.908333333333331</v>
      </c>
      <c r="G14" s="5">
        <v>23.63</v>
      </c>
      <c r="H14" t="s">
        <v>45</v>
      </c>
      <c r="I14" s="23" t="s">
        <v>254</v>
      </c>
      <c r="J14">
        <v>0</v>
      </c>
      <c r="K14" s="3">
        <v>0</v>
      </c>
      <c r="M14" s="19">
        <v>1</v>
      </c>
      <c r="N14">
        <v>0</v>
      </c>
      <c r="O14" s="3">
        <v>0</v>
      </c>
      <c r="P14" s="3">
        <v>1</v>
      </c>
      <c r="Q14" s="3">
        <v>1</v>
      </c>
      <c r="R14" s="3">
        <v>1</v>
      </c>
      <c r="S14" s="3">
        <v>0</v>
      </c>
      <c r="T14" t="s">
        <v>26</v>
      </c>
      <c r="U14" s="3">
        <v>1</v>
      </c>
      <c r="V14" s="3">
        <v>0</v>
      </c>
      <c r="W14">
        <v>0</v>
      </c>
      <c r="X14">
        <v>0</v>
      </c>
      <c r="Y14" s="19">
        <v>1</v>
      </c>
      <c r="Z14" s="19">
        <v>1</v>
      </c>
      <c r="AA14" s="3">
        <v>0</v>
      </c>
      <c r="AB14" s="3">
        <v>1</v>
      </c>
      <c r="AC14" s="3">
        <v>1</v>
      </c>
      <c r="AD14" s="3">
        <v>1</v>
      </c>
      <c r="AE14" s="3" t="s">
        <v>111</v>
      </c>
      <c r="AF14" s="3" t="s">
        <v>111</v>
      </c>
      <c r="AG14" s="3" t="s">
        <v>111</v>
      </c>
      <c r="AH14" s="3" t="s">
        <v>111</v>
      </c>
      <c r="AI14" s="3" t="s">
        <v>111</v>
      </c>
      <c r="AJ14" s="25" t="s">
        <v>111</v>
      </c>
      <c r="AK14" s="3">
        <v>2</v>
      </c>
      <c r="AL14" s="3">
        <v>0</v>
      </c>
      <c r="AM14" s="26" t="s">
        <v>111</v>
      </c>
      <c r="AN14" s="6" t="s">
        <v>111</v>
      </c>
      <c r="AO14" t="s">
        <v>111</v>
      </c>
      <c r="AP14">
        <v>0</v>
      </c>
      <c r="AQ14" s="34">
        <v>45433</v>
      </c>
      <c r="AR14" s="28" t="s">
        <v>54</v>
      </c>
      <c r="AV14">
        <v>0</v>
      </c>
      <c r="AW14" s="28">
        <v>1</v>
      </c>
      <c r="AX14" t="s">
        <v>150</v>
      </c>
      <c r="AY14">
        <v>0</v>
      </c>
      <c r="AZ14" s="28">
        <v>0</v>
      </c>
      <c r="BA14" s="28">
        <v>310</v>
      </c>
      <c r="BB14" t="s">
        <v>77</v>
      </c>
    </row>
    <row r="15" spans="1:54">
      <c r="A15">
        <v>2021</v>
      </c>
      <c r="B15" s="2">
        <v>44335</v>
      </c>
      <c r="C15" s="2" t="s">
        <v>251</v>
      </c>
      <c r="D15" t="s">
        <v>151</v>
      </c>
      <c r="E15" s="2">
        <v>30784</v>
      </c>
      <c r="F15" s="18">
        <f t="shared" ca="1" si="0"/>
        <v>41.886111111111113</v>
      </c>
      <c r="G15" s="5">
        <v>23.65</v>
      </c>
      <c r="H15" t="s">
        <v>45</v>
      </c>
      <c r="I15" s="23" t="s">
        <v>46</v>
      </c>
      <c r="J15">
        <v>0</v>
      </c>
      <c r="K15" s="3">
        <v>0</v>
      </c>
      <c r="M15" s="3">
        <v>0</v>
      </c>
      <c r="N15">
        <v>0</v>
      </c>
      <c r="O15" s="3">
        <v>0</v>
      </c>
      <c r="P15" s="3">
        <v>0</v>
      </c>
      <c r="Q15" s="3">
        <v>1</v>
      </c>
      <c r="R15" s="3">
        <v>1</v>
      </c>
      <c r="S15" s="3">
        <v>0</v>
      </c>
      <c r="T15" t="s">
        <v>26</v>
      </c>
      <c r="U15" s="3">
        <v>1</v>
      </c>
      <c r="V15" s="3">
        <v>0</v>
      </c>
      <c r="W15">
        <v>0</v>
      </c>
      <c r="X15">
        <v>0</v>
      </c>
      <c r="Y15" s="3">
        <v>0</v>
      </c>
      <c r="Z15" s="3">
        <v>0</v>
      </c>
      <c r="AA15" s="3">
        <v>0</v>
      </c>
      <c r="AB15" s="3">
        <v>0</v>
      </c>
      <c r="AC15" s="3">
        <v>1</v>
      </c>
      <c r="AD15" s="3">
        <v>1</v>
      </c>
      <c r="AE15" s="3">
        <v>1</v>
      </c>
      <c r="AF15" s="3">
        <v>0</v>
      </c>
      <c r="AG15" s="3">
        <v>1</v>
      </c>
      <c r="AH15" s="3">
        <v>1</v>
      </c>
      <c r="AI15" s="3">
        <v>0</v>
      </c>
      <c r="AJ15" s="3" t="s">
        <v>94</v>
      </c>
      <c r="AK15" s="3">
        <v>2</v>
      </c>
      <c r="AL15" s="3">
        <v>1</v>
      </c>
      <c r="AM15" s="26" t="s">
        <v>154</v>
      </c>
      <c r="AN15" s="6" t="s">
        <v>153</v>
      </c>
      <c r="AO15" s="6" t="s">
        <v>152</v>
      </c>
      <c r="AP15">
        <v>0</v>
      </c>
      <c r="AQ15" s="34">
        <v>45965</v>
      </c>
      <c r="AR15" s="28" t="s">
        <v>50</v>
      </c>
      <c r="AS15" s="28" t="s">
        <v>155</v>
      </c>
      <c r="AT15" s="28" t="s">
        <v>148</v>
      </c>
      <c r="AV15">
        <v>0</v>
      </c>
      <c r="AW15" s="28">
        <v>1</v>
      </c>
      <c r="AX15" t="s">
        <v>155</v>
      </c>
      <c r="AY15">
        <v>1</v>
      </c>
      <c r="AZ15" s="28">
        <v>1</v>
      </c>
      <c r="BA15" s="28">
        <v>450</v>
      </c>
      <c r="BB15" t="s">
        <v>77</v>
      </c>
    </row>
    <row r="16" spans="1:54">
      <c r="A16">
        <v>2017</v>
      </c>
      <c r="B16" s="2" t="s">
        <v>22</v>
      </c>
      <c r="C16" s="2" t="s">
        <v>247</v>
      </c>
      <c r="D16" t="s">
        <v>156</v>
      </c>
      <c r="E16" s="2">
        <v>24041</v>
      </c>
      <c r="F16" s="18">
        <f t="shared" ca="1" si="0"/>
        <v>60.347222222222221</v>
      </c>
      <c r="G16" s="5">
        <v>21.3</v>
      </c>
      <c r="H16" t="s">
        <v>45</v>
      </c>
      <c r="I16" s="23" t="s">
        <v>46</v>
      </c>
      <c r="J16">
        <v>0</v>
      </c>
      <c r="K16" s="3">
        <v>0</v>
      </c>
      <c r="M16" s="3">
        <v>0</v>
      </c>
      <c r="N16">
        <v>0</v>
      </c>
      <c r="O16" s="3">
        <v>1</v>
      </c>
      <c r="P16" s="3" t="s">
        <v>93</v>
      </c>
      <c r="Q16" s="3">
        <v>1</v>
      </c>
      <c r="R16" s="3">
        <v>1</v>
      </c>
      <c r="S16" s="3">
        <v>0</v>
      </c>
      <c r="T16" t="s">
        <v>26</v>
      </c>
      <c r="U16" s="3">
        <v>0</v>
      </c>
      <c r="V16" s="3">
        <v>1</v>
      </c>
      <c r="W16">
        <v>1</v>
      </c>
      <c r="X16">
        <v>0</v>
      </c>
      <c r="Y16" s="3">
        <v>1</v>
      </c>
      <c r="Z16" s="19">
        <v>1</v>
      </c>
      <c r="AA16" s="3">
        <v>1</v>
      </c>
      <c r="AB16" s="3">
        <v>1</v>
      </c>
      <c r="AC16" s="3">
        <v>1</v>
      </c>
      <c r="AD16" s="3">
        <v>1</v>
      </c>
      <c r="AE16" s="3">
        <v>1</v>
      </c>
      <c r="AF16" s="3">
        <v>0</v>
      </c>
      <c r="AG16" s="3">
        <v>1</v>
      </c>
      <c r="AH16" s="3">
        <v>1</v>
      </c>
      <c r="AI16" s="3">
        <v>1</v>
      </c>
      <c r="AK16" s="3">
        <v>2</v>
      </c>
      <c r="AL16" s="3">
        <v>1</v>
      </c>
      <c r="AM16" s="3" t="s">
        <v>172</v>
      </c>
      <c r="AN16" s="7" t="s">
        <v>157</v>
      </c>
      <c r="AP16">
        <v>0</v>
      </c>
      <c r="AQ16" s="34">
        <v>45000</v>
      </c>
      <c r="AR16" s="28" t="s">
        <v>50</v>
      </c>
      <c r="AS16" s="28" t="s">
        <v>155</v>
      </c>
      <c r="AT16" s="28" t="s">
        <v>148</v>
      </c>
      <c r="AV16">
        <v>0</v>
      </c>
      <c r="AW16" s="28">
        <v>1</v>
      </c>
      <c r="AX16" t="s">
        <v>158</v>
      </c>
      <c r="AY16">
        <v>0</v>
      </c>
      <c r="AZ16" s="28">
        <v>0</v>
      </c>
      <c r="BA16" s="28">
        <v>190</v>
      </c>
      <c r="BB16" t="s">
        <v>77</v>
      </c>
    </row>
    <row r="17" spans="1:54">
      <c r="A17">
        <v>2021</v>
      </c>
      <c r="B17" s="2">
        <v>44512</v>
      </c>
      <c r="C17" s="2" t="s">
        <v>252</v>
      </c>
      <c r="D17" t="s">
        <v>159</v>
      </c>
      <c r="E17" s="2">
        <v>27390</v>
      </c>
      <c r="F17" s="18">
        <f t="shared" ca="1" si="0"/>
        <v>51.177777777777777</v>
      </c>
      <c r="G17" s="5">
        <v>21.7</v>
      </c>
      <c r="H17" t="s">
        <v>45</v>
      </c>
      <c r="I17" s="23" t="s">
        <v>46</v>
      </c>
      <c r="J17">
        <v>0</v>
      </c>
      <c r="K17" s="3">
        <v>0</v>
      </c>
      <c r="M17" s="3">
        <v>0</v>
      </c>
      <c r="N17">
        <v>0</v>
      </c>
      <c r="O17" s="3">
        <v>1</v>
      </c>
      <c r="P17" s="3" t="s">
        <v>93</v>
      </c>
      <c r="Q17" s="3">
        <v>1</v>
      </c>
      <c r="R17" s="3">
        <v>1</v>
      </c>
      <c r="S17" s="3">
        <v>0</v>
      </c>
      <c r="T17" t="s">
        <v>26</v>
      </c>
      <c r="U17" s="3">
        <v>1</v>
      </c>
      <c r="V17" s="3">
        <v>0</v>
      </c>
      <c r="W17">
        <v>0</v>
      </c>
      <c r="X17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1</v>
      </c>
      <c r="AE17" s="3">
        <v>1</v>
      </c>
      <c r="AF17" s="3">
        <v>0</v>
      </c>
      <c r="AG17" s="3">
        <v>0</v>
      </c>
      <c r="AH17" s="3">
        <v>0</v>
      </c>
      <c r="AI17" s="3">
        <v>0</v>
      </c>
      <c r="AJ17" s="3" t="s">
        <v>47</v>
      </c>
      <c r="AK17" s="3">
        <v>1</v>
      </c>
      <c r="AL17" s="3">
        <v>1</v>
      </c>
      <c r="AM17" s="26">
        <v>0</v>
      </c>
      <c r="AO17" t="s">
        <v>162</v>
      </c>
      <c r="AP17">
        <v>0</v>
      </c>
      <c r="AQ17" s="34">
        <v>46055</v>
      </c>
      <c r="AR17" s="28" t="s">
        <v>54</v>
      </c>
      <c r="AV17">
        <v>0</v>
      </c>
      <c r="AW17" s="28">
        <v>1</v>
      </c>
      <c r="AX17" t="s">
        <v>160</v>
      </c>
      <c r="AY17">
        <v>1</v>
      </c>
      <c r="AZ17" s="28">
        <v>1</v>
      </c>
      <c r="BA17" s="28">
        <v>405</v>
      </c>
      <c r="BB17" t="s">
        <v>77</v>
      </c>
    </row>
    <row r="18" spans="1:54">
      <c r="A18">
        <v>2021</v>
      </c>
      <c r="B18" s="2">
        <v>44610</v>
      </c>
      <c r="C18" s="2" t="s">
        <v>70</v>
      </c>
      <c r="D18" t="s">
        <v>106</v>
      </c>
      <c r="E18" s="2">
        <v>23082</v>
      </c>
      <c r="F18" s="18">
        <f t="shared" ca="1" si="0"/>
        <v>62.969444444444441</v>
      </c>
      <c r="G18" s="5">
        <v>25.34</v>
      </c>
      <c r="H18" t="s">
        <v>45</v>
      </c>
      <c r="I18" s="23" t="s">
        <v>46</v>
      </c>
      <c r="J18">
        <v>0</v>
      </c>
      <c r="K18" s="3">
        <v>0</v>
      </c>
      <c r="M18" s="3" t="s">
        <v>163</v>
      </c>
      <c r="N18">
        <v>0</v>
      </c>
      <c r="O18" s="3">
        <v>1</v>
      </c>
      <c r="P18" s="3" t="s">
        <v>93</v>
      </c>
      <c r="Q18" s="3">
        <v>0</v>
      </c>
      <c r="R18" s="3">
        <v>1</v>
      </c>
      <c r="S18" s="3">
        <v>0</v>
      </c>
      <c r="T18" t="s">
        <v>26</v>
      </c>
      <c r="U18" s="3">
        <v>1</v>
      </c>
      <c r="V18" s="3">
        <v>0</v>
      </c>
      <c r="W18">
        <v>0</v>
      </c>
      <c r="X18">
        <v>0</v>
      </c>
      <c r="Y18" s="3">
        <v>0</v>
      </c>
      <c r="Z18" s="3">
        <v>0</v>
      </c>
      <c r="AA18" s="3">
        <v>0</v>
      </c>
      <c r="AB18" s="3">
        <v>0</v>
      </c>
      <c r="AC18" s="3">
        <v>1</v>
      </c>
      <c r="AD18" s="3">
        <v>1</v>
      </c>
      <c r="AE18" s="3">
        <v>1</v>
      </c>
      <c r="AF18" s="3">
        <v>0</v>
      </c>
      <c r="AG18" s="3">
        <v>1</v>
      </c>
      <c r="AH18" s="3">
        <v>1</v>
      </c>
      <c r="AI18" s="3">
        <v>0</v>
      </c>
      <c r="AJ18" s="3" t="s">
        <v>47</v>
      </c>
      <c r="AK18" s="3">
        <v>0</v>
      </c>
      <c r="AL18" s="3">
        <v>0</v>
      </c>
      <c r="AM18" s="26" t="s">
        <v>235</v>
      </c>
      <c r="AN18" s="6" t="s">
        <v>164</v>
      </c>
      <c r="AO18" t="s">
        <v>146</v>
      </c>
      <c r="AP18">
        <v>0</v>
      </c>
      <c r="AQ18" s="34">
        <v>45495</v>
      </c>
      <c r="AR18" s="28" t="s">
        <v>54</v>
      </c>
      <c r="AV18">
        <v>0</v>
      </c>
      <c r="AW18" s="28">
        <v>0</v>
      </c>
      <c r="AY18">
        <v>0</v>
      </c>
      <c r="AZ18" s="28">
        <v>0</v>
      </c>
      <c r="BA18" s="28">
        <v>485</v>
      </c>
      <c r="BB18" t="s">
        <v>77</v>
      </c>
    </row>
    <row r="19" spans="1:54">
      <c r="A19" t="s">
        <v>230</v>
      </c>
      <c r="B19" s="2">
        <v>44617</v>
      </c>
      <c r="C19" s="2" t="s">
        <v>253</v>
      </c>
      <c r="D19" t="s">
        <v>228</v>
      </c>
      <c r="E19" s="2">
        <v>23630</v>
      </c>
      <c r="F19" s="18">
        <f t="shared" ca="1" si="0"/>
        <v>61.475000000000001</v>
      </c>
      <c r="G19" s="5">
        <v>24.41</v>
      </c>
      <c r="H19" t="s">
        <v>45</v>
      </c>
      <c r="I19" s="23" t="s">
        <v>46</v>
      </c>
      <c r="J19">
        <v>0</v>
      </c>
      <c r="K19" s="3">
        <v>0</v>
      </c>
      <c r="M19" s="3">
        <v>0</v>
      </c>
      <c r="N19">
        <v>0</v>
      </c>
      <c r="O19" s="3">
        <v>1</v>
      </c>
      <c r="P19" s="3">
        <v>0</v>
      </c>
      <c r="Q19" s="3">
        <v>0</v>
      </c>
      <c r="R19" s="3">
        <v>1</v>
      </c>
      <c r="S19" s="3">
        <v>0</v>
      </c>
      <c r="T19" t="s">
        <v>26</v>
      </c>
      <c r="U19" s="3">
        <v>1</v>
      </c>
      <c r="V19" s="3">
        <v>0</v>
      </c>
      <c r="W19">
        <v>0</v>
      </c>
      <c r="X19">
        <v>0</v>
      </c>
      <c r="Y19" s="3">
        <v>1</v>
      </c>
      <c r="Z19" s="3">
        <v>0</v>
      </c>
      <c r="AA19" s="3">
        <v>0</v>
      </c>
      <c r="AB19" s="3">
        <v>1</v>
      </c>
      <c r="AC19" s="3">
        <v>1</v>
      </c>
      <c r="AD19" s="3">
        <v>1</v>
      </c>
      <c r="AE19" s="3">
        <v>1</v>
      </c>
      <c r="AF19" s="3">
        <v>0</v>
      </c>
      <c r="AG19" s="3">
        <v>0</v>
      </c>
      <c r="AH19" s="3">
        <v>0</v>
      </c>
      <c r="AI19" s="3">
        <v>0</v>
      </c>
      <c r="AJ19" s="3" t="s">
        <v>232</v>
      </c>
      <c r="AK19" s="3">
        <v>2</v>
      </c>
      <c r="AL19" s="3">
        <v>2</v>
      </c>
      <c r="AM19" s="26" t="s">
        <v>235</v>
      </c>
      <c r="AN19" s="6" t="s">
        <v>231</v>
      </c>
      <c r="AO19" t="s">
        <v>227</v>
      </c>
      <c r="AP19">
        <v>0</v>
      </c>
      <c r="AQ19" s="34">
        <v>45601</v>
      </c>
      <c r="AR19" s="28" t="s">
        <v>50</v>
      </c>
      <c r="AS19" s="28" t="s">
        <v>67</v>
      </c>
      <c r="AV19">
        <v>0</v>
      </c>
      <c r="AW19" s="28">
        <v>1</v>
      </c>
      <c r="AX19" t="s">
        <v>229</v>
      </c>
      <c r="AY19">
        <v>1</v>
      </c>
      <c r="AZ19" s="28">
        <v>1</v>
      </c>
      <c r="BA19" s="28">
        <v>405</v>
      </c>
      <c r="BB19" t="s">
        <v>77</v>
      </c>
    </row>
    <row r="20" spans="1:54">
      <c r="A20">
        <v>2021</v>
      </c>
      <c r="B20" s="2">
        <v>44673</v>
      </c>
      <c r="C20" s="2" t="s">
        <v>61</v>
      </c>
      <c r="D20" t="s">
        <v>233</v>
      </c>
      <c r="E20" s="2">
        <v>21495</v>
      </c>
      <c r="F20" s="18">
        <f t="shared" ca="1" si="0"/>
        <v>67.319444444444443</v>
      </c>
      <c r="G20" s="5">
        <v>32.81</v>
      </c>
      <c r="H20" t="s">
        <v>45</v>
      </c>
      <c r="I20" s="23" t="s">
        <v>71</v>
      </c>
      <c r="J20">
        <v>1</v>
      </c>
      <c r="K20" s="3">
        <v>0</v>
      </c>
      <c r="M20" s="3">
        <v>0</v>
      </c>
      <c r="N20">
        <v>0</v>
      </c>
      <c r="O20" s="3">
        <v>1</v>
      </c>
      <c r="P20" s="3">
        <v>0</v>
      </c>
      <c r="Q20" s="3">
        <v>0</v>
      </c>
      <c r="R20" s="3">
        <v>1</v>
      </c>
      <c r="S20" s="3">
        <v>0</v>
      </c>
      <c r="T20" t="s">
        <v>26</v>
      </c>
      <c r="U20" s="3">
        <v>1</v>
      </c>
      <c r="V20" s="3">
        <v>0</v>
      </c>
      <c r="W20">
        <v>0</v>
      </c>
      <c r="X20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1</v>
      </c>
      <c r="AE20" s="3">
        <v>1</v>
      </c>
      <c r="AF20" s="3">
        <v>0</v>
      </c>
      <c r="AG20" s="3">
        <v>1</v>
      </c>
      <c r="AH20" s="3">
        <v>1</v>
      </c>
      <c r="AI20" s="3" t="s">
        <v>111</v>
      </c>
      <c r="AJ20" s="3" t="s">
        <v>193</v>
      </c>
      <c r="AK20" s="3">
        <v>0</v>
      </c>
      <c r="AL20" s="3">
        <v>0</v>
      </c>
      <c r="AM20" s="3">
        <v>0</v>
      </c>
      <c r="AN20" s="7" t="s">
        <v>257</v>
      </c>
      <c r="AO20" t="s">
        <v>112</v>
      </c>
      <c r="AP20">
        <v>0</v>
      </c>
      <c r="AQ20" s="34">
        <v>45923</v>
      </c>
      <c r="AR20" s="28" t="s">
        <v>50</v>
      </c>
      <c r="AS20" s="28" t="s">
        <v>121</v>
      </c>
      <c r="AV20" t="s">
        <v>234</v>
      </c>
      <c r="AW20" s="28">
        <v>0</v>
      </c>
      <c r="AY20">
        <v>0</v>
      </c>
      <c r="AZ20" s="28">
        <v>0</v>
      </c>
      <c r="BA20" s="28">
        <v>445</v>
      </c>
      <c r="BB20" t="s">
        <v>77</v>
      </c>
    </row>
    <row r="40" spans="5:16">
      <c r="E40" s="4"/>
      <c r="F40" s="19"/>
      <c r="G40" s="21"/>
      <c r="I40" s="19"/>
      <c r="J40" s="4"/>
      <c r="K40" s="19"/>
      <c r="L40" s="4"/>
      <c r="M40" s="19"/>
      <c r="N40" s="4"/>
      <c r="O40" s="19"/>
      <c r="P40" s="19"/>
    </row>
    <row r="41" spans="5:16">
      <c r="E41" s="4"/>
      <c r="F41" s="19"/>
      <c r="G41" s="21"/>
      <c r="I41" s="19"/>
      <c r="J41" s="4"/>
      <c r="K41" s="19"/>
      <c r="L41" s="4"/>
      <c r="M41" s="19"/>
      <c r="N41" s="4"/>
      <c r="O41" s="19"/>
      <c r="P41" s="19"/>
    </row>
    <row r="51" spans="5:16">
      <c r="E51" s="4"/>
      <c r="F51" s="19"/>
      <c r="G51" s="21"/>
      <c r="I51" s="19"/>
      <c r="J51" s="4"/>
      <c r="K51" s="19"/>
      <c r="L51" s="4"/>
      <c r="M51" s="19"/>
      <c r="N51" s="4"/>
      <c r="O51" s="19"/>
      <c r="P51" s="19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114AD-64C4-5043-9A40-8597C3FEAC44}">
  <dimension ref="A1:BF30"/>
  <sheetViews>
    <sheetView tabSelected="1" topLeftCell="AC1" zoomScale="91" zoomScaleNormal="91" workbookViewId="0">
      <selection activeCell="AG1" sqref="AG1"/>
    </sheetView>
  </sheetViews>
  <sheetFormatPr defaultColWidth="11" defaultRowHeight="15.75"/>
  <cols>
    <col min="2" max="2" width="22.875" customWidth="1"/>
    <col min="4" max="4" width="10.875" style="3"/>
    <col min="5" max="5" width="31.625" customWidth="1"/>
    <col min="7" max="7" width="10.625" style="5" customWidth="1"/>
    <col min="8" max="8" width="10" style="5" customWidth="1"/>
    <col min="9" max="9" width="12.125" customWidth="1"/>
    <col min="10" max="10" width="10.875" style="3"/>
    <col min="11" max="11" width="18.125" customWidth="1"/>
    <col min="12" max="12" width="8.875" style="3" customWidth="1"/>
    <col min="13" max="13" width="5.125" customWidth="1"/>
    <col min="14" max="15" width="7.375" style="3" customWidth="1"/>
    <col min="16" max="16" width="11.875" style="3" customWidth="1"/>
    <col min="17" max="17" width="13.125" style="3" customWidth="1"/>
    <col min="18" max="18" width="10.875" style="3"/>
    <col min="19" max="19" width="10" style="3" customWidth="1"/>
    <col min="20" max="20" width="10.625" style="3" customWidth="1"/>
    <col min="22" max="23" width="10.875" style="3"/>
    <col min="24" max="24" width="19.5" customWidth="1"/>
    <col min="25" max="25" width="21.125" customWidth="1"/>
    <col min="26" max="26" width="27.5" style="3" customWidth="1"/>
    <col min="27" max="27" width="28.875" style="3" customWidth="1"/>
    <col min="28" max="28" width="15.875" style="3" customWidth="1"/>
    <col min="29" max="30" width="10.875" style="3"/>
    <col min="31" max="31" width="17.375" style="3" customWidth="1"/>
    <col min="32" max="32" width="13.875" style="3" customWidth="1"/>
    <col min="33" max="34" width="10.875" style="3"/>
    <col min="35" max="35" width="10" style="3" customWidth="1"/>
    <col min="36" max="36" width="9" style="3" customWidth="1"/>
    <col min="37" max="37" width="10.875" style="3"/>
    <col min="38" max="38" width="17.625" style="3" customWidth="1"/>
    <col min="39" max="39" width="20.125" style="3" customWidth="1"/>
    <col min="40" max="40" width="16.375" style="3" customWidth="1"/>
    <col min="41" max="41" width="14.125" customWidth="1"/>
    <col min="44" max="44" width="25.125" style="35" customWidth="1"/>
    <col min="45" max="45" width="15.5" style="35" customWidth="1"/>
    <col min="46" max="46" width="16.125" style="35" customWidth="1"/>
    <col min="47" max="48" width="17.5" style="35" customWidth="1"/>
    <col min="49" max="49" width="17.5" customWidth="1"/>
    <col min="50" max="50" width="18.375" style="35" customWidth="1"/>
    <col min="51" max="51" width="20.875" customWidth="1"/>
    <col min="52" max="52" width="19.5" customWidth="1"/>
    <col min="53" max="53" width="32.625" style="35" customWidth="1"/>
    <col min="54" max="54" width="13" style="35" customWidth="1"/>
    <col min="55" max="56" width="10.875" style="35"/>
    <col min="57" max="57" width="16.5" customWidth="1"/>
  </cols>
  <sheetData>
    <row r="1" spans="1:58" s="11" customFormat="1">
      <c r="A1" s="9" t="s">
        <v>2</v>
      </c>
      <c r="B1" s="9" t="s">
        <v>19</v>
      </c>
      <c r="C1" s="9" t="s">
        <v>18</v>
      </c>
      <c r="D1" s="22" t="s">
        <v>246</v>
      </c>
      <c r="E1" s="9" t="s">
        <v>20</v>
      </c>
      <c r="F1" s="9" t="s">
        <v>0</v>
      </c>
      <c r="G1" s="17" t="s">
        <v>32</v>
      </c>
      <c r="H1" s="17" t="s">
        <v>33</v>
      </c>
      <c r="I1" s="9" t="s">
        <v>34</v>
      </c>
      <c r="J1" s="22" t="s">
        <v>1</v>
      </c>
      <c r="K1" s="9" t="s">
        <v>35</v>
      </c>
      <c r="L1" s="22" t="s">
        <v>36</v>
      </c>
      <c r="M1" s="9" t="s">
        <v>37</v>
      </c>
      <c r="N1" s="22" t="s">
        <v>38</v>
      </c>
      <c r="O1" s="42" t="s">
        <v>78</v>
      </c>
      <c r="P1" s="24" t="s">
        <v>248</v>
      </c>
      <c r="Q1" s="22" t="s">
        <v>6</v>
      </c>
      <c r="R1" s="22" t="s">
        <v>7</v>
      </c>
      <c r="S1" s="22" t="s">
        <v>23</v>
      </c>
      <c r="T1" s="22" t="s">
        <v>25</v>
      </c>
      <c r="U1" s="9" t="s">
        <v>3</v>
      </c>
      <c r="V1" s="22" t="s">
        <v>264</v>
      </c>
      <c r="W1" s="22" t="s">
        <v>41</v>
      </c>
      <c r="X1" s="9" t="s">
        <v>59</v>
      </c>
      <c r="Y1" s="9" t="s">
        <v>42</v>
      </c>
      <c r="Z1" s="22" t="s">
        <v>265</v>
      </c>
      <c r="AA1" s="22" t="s">
        <v>24</v>
      </c>
      <c r="AB1" s="22" t="s">
        <v>266</v>
      </c>
      <c r="AC1" s="22" t="s">
        <v>43</v>
      </c>
      <c r="AD1" s="22" t="s">
        <v>107</v>
      </c>
      <c r="AE1" s="22" t="s">
        <v>11</v>
      </c>
      <c r="AF1" s="22" t="s">
        <v>60</v>
      </c>
      <c r="AG1" s="22" t="s">
        <v>267</v>
      </c>
      <c r="AH1" s="22" t="s">
        <v>28</v>
      </c>
      <c r="AI1" s="22" t="s">
        <v>29</v>
      </c>
      <c r="AJ1" s="22" t="s">
        <v>30</v>
      </c>
      <c r="AK1" s="22" t="s">
        <v>4</v>
      </c>
      <c r="AL1" s="22" t="s">
        <v>27</v>
      </c>
      <c r="AM1" s="22" t="s">
        <v>49</v>
      </c>
      <c r="AN1" s="22" t="s">
        <v>55</v>
      </c>
      <c r="AO1" s="9" t="s">
        <v>56</v>
      </c>
      <c r="AP1" s="9" t="s">
        <v>5</v>
      </c>
      <c r="AQ1" s="9" t="s">
        <v>8</v>
      </c>
      <c r="AR1" s="33" t="s">
        <v>31</v>
      </c>
      <c r="AS1" s="33" t="s">
        <v>15</v>
      </c>
      <c r="AT1" s="33" t="s">
        <v>12</v>
      </c>
      <c r="AU1" s="33" t="s">
        <v>13</v>
      </c>
      <c r="AV1" s="33" t="s">
        <v>74</v>
      </c>
      <c r="AW1" s="9" t="s">
        <v>44</v>
      </c>
      <c r="AX1" s="33" t="s">
        <v>52</v>
      </c>
      <c r="AY1" s="9" t="s">
        <v>14</v>
      </c>
      <c r="AZ1" s="9" t="s">
        <v>39</v>
      </c>
      <c r="BA1" s="33" t="s">
        <v>40</v>
      </c>
      <c r="BB1" s="33" t="s">
        <v>9</v>
      </c>
      <c r="BC1" s="33" t="s">
        <v>10</v>
      </c>
      <c r="BD1" s="33" t="s">
        <v>16</v>
      </c>
      <c r="BE1" s="9" t="s">
        <v>17</v>
      </c>
    </row>
    <row r="2" spans="1:58">
      <c r="A2">
        <v>1999</v>
      </c>
      <c r="B2" s="2">
        <v>43838</v>
      </c>
      <c r="C2" s="2">
        <v>43900</v>
      </c>
      <c r="D2" s="23" t="s">
        <v>61</v>
      </c>
      <c r="E2" s="2" t="s">
        <v>61</v>
      </c>
      <c r="F2" s="2">
        <v>24947</v>
      </c>
      <c r="G2" s="5">
        <f ca="1">YEARFRAC(F2,TODAY())</f>
        <v>57.866666666666667</v>
      </c>
      <c r="H2" s="5">
        <v>25.01</v>
      </c>
      <c r="I2" s="2" t="s">
        <v>45</v>
      </c>
      <c r="J2" s="3" t="s">
        <v>46</v>
      </c>
      <c r="K2">
        <v>0</v>
      </c>
      <c r="L2" s="3">
        <v>0</v>
      </c>
      <c r="N2" s="3">
        <v>0</v>
      </c>
      <c r="O2" s="3">
        <v>0</v>
      </c>
      <c r="P2" s="3">
        <v>0</v>
      </c>
      <c r="Q2" s="3">
        <v>0</v>
      </c>
      <c r="R2" s="3">
        <v>1</v>
      </c>
      <c r="S2" s="3">
        <v>0</v>
      </c>
      <c r="T2" s="3">
        <v>1</v>
      </c>
      <c r="U2" t="s">
        <v>26</v>
      </c>
      <c r="V2" s="3">
        <v>0</v>
      </c>
      <c r="W2" s="3">
        <v>1</v>
      </c>
      <c r="X2">
        <v>0</v>
      </c>
      <c r="Y2">
        <v>1</v>
      </c>
      <c r="Z2" s="3">
        <v>0</v>
      </c>
      <c r="AA2" s="3">
        <v>1</v>
      </c>
      <c r="AB2" s="3">
        <v>0</v>
      </c>
      <c r="AC2" s="3">
        <v>1</v>
      </c>
      <c r="AD2" s="3">
        <v>0</v>
      </c>
      <c r="AE2" s="3">
        <v>1</v>
      </c>
      <c r="AF2" s="3">
        <v>1</v>
      </c>
      <c r="AG2" s="3">
        <v>0</v>
      </c>
      <c r="AH2" s="3">
        <v>1</v>
      </c>
      <c r="AI2" s="3">
        <v>1</v>
      </c>
      <c r="AJ2" s="3">
        <v>0</v>
      </c>
      <c r="AK2" s="3" t="s">
        <v>47</v>
      </c>
      <c r="AL2" s="3">
        <v>2</v>
      </c>
      <c r="AM2" s="3">
        <v>1</v>
      </c>
      <c r="AN2" s="3" t="s">
        <v>57</v>
      </c>
      <c r="AO2" t="s">
        <v>58</v>
      </c>
      <c r="AP2" t="s">
        <v>48</v>
      </c>
      <c r="AQ2">
        <v>0</v>
      </c>
      <c r="AR2" s="34">
        <v>44732</v>
      </c>
      <c r="AS2" s="35" t="s">
        <v>54</v>
      </c>
      <c r="AT2" s="35">
        <v>0</v>
      </c>
      <c r="AU2" s="35">
        <v>0</v>
      </c>
      <c r="AW2">
        <v>0</v>
      </c>
      <c r="AX2" s="35">
        <v>1</v>
      </c>
      <c r="AY2" t="s">
        <v>51</v>
      </c>
      <c r="AZ2">
        <v>0</v>
      </c>
      <c r="BA2" s="35">
        <v>0</v>
      </c>
      <c r="BB2" s="35">
        <v>350</v>
      </c>
      <c r="BC2" s="35">
        <v>250</v>
      </c>
      <c r="BD2" s="35">
        <v>350</v>
      </c>
      <c r="BE2" t="s">
        <v>53</v>
      </c>
    </row>
    <row r="3" spans="1:58">
      <c r="A3">
        <v>2019</v>
      </c>
      <c r="B3" s="2">
        <v>43832</v>
      </c>
      <c r="C3" s="2">
        <v>44042</v>
      </c>
      <c r="D3" s="23" t="s">
        <v>61</v>
      </c>
      <c r="E3" s="2" t="s">
        <v>61</v>
      </c>
      <c r="F3" s="2">
        <v>17830</v>
      </c>
      <c r="G3" s="5">
        <f t="shared" ref="G3:G30" ca="1" si="0">YEARFRAC(F3,TODAY())</f>
        <v>77.352777777777774</v>
      </c>
      <c r="H3" s="5">
        <v>26.44</v>
      </c>
      <c r="I3" s="2" t="s">
        <v>45</v>
      </c>
      <c r="J3" s="3" t="s">
        <v>46</v>
      </c>
      <c r="K3">
        <v>1</v>
      </c>
      <c r="L3" s="3">
        <v>0</v>
      </c>
      <c r="N3" s="3">
        <v>1</v>
      </c>
      <c r="O3" s="3">
        <v>1</v>
      </c>
      <c r="P3" s="3">
        <v>0</v>
      </c>
      <c r="Q3" s="3">
        <v>1</v>
      </c>
      <c r="R3" s="3">
        <v>0</v>
      </c>
      <c r="S3" s="3">
        <v>1</v>
      </c>
      <c r="T3" s="3">
        <v>0</v>
      </c>
      <c r="U3" t="s">
        <v>26</v>
      </c>
      <c r="V3" s="3">
        <v>0</v>
      </c>
      <c r="W3" s="3">
        <v>1</v>
      </c>
      <c r="X3">
        <v>1</v>
      </c>
      <c r="Y3">
        <v>0</v>
      </c>
      <c r="Z3" s="3">
        <v>0</v>
      </c>
      <c r="AA3" s="3">
        <v>0</v>
      </c>
      <c r="AB3" s="3">
        <v>0</v>
      </c>
      <c r="AC3" s="3">
        <v>1</v>
      </c>
      <c r="AD3" s="3">
        <v>1</v>
      </c>
      <c r="AE3" s="3">
        <v>1</v>
      </c>
      <c r="AF3" s="3">
        <v>1</v>
      </c>
      <c r="AG3" s="3">
        <v>1</v>
      </c>
      <c r="AH3" s="3">
        <v>1</v>
      </c>
      <c r="AI3" s="3">
        <v>0</v>
      </c>
      <c r="AJ3" s="3">
        <v>0</v>
      </c>
      <c r="AK3" s="3" t="s">
        <v>47</v>
      </c>
      <c r="AL3" s="3">
        <v>1</v>
      </c>
      <c r="AM3" s="3">
        <v>1</v>
      </c>
      <c r="AN3" s="3">
        <v>0</v>
      </c>
      <c r="AO3" s="6" t="s">
        <v>62</v>
      </c>
      <c r="AP3" t="s">
        <v>66</v>
      </c>
      <c r="AQ3">
        <v>0</v>
      </c>
      <c r="AR3" s="34">
        <v>44343</v>
      </c>
      <c r="AS3" s="35" t="s">
        <v>50</v>
      </c>
      <c r="AT3" s="35" t="s">
        <v>63</v>
      </c>
      <c r="AU3" s="35" t="s">
        <v>64</v>
      </c>
      <c r="AW3">
        <v>1</v>
      </c>
      <c r="AX3" s="35">
        <v>1</v>
      </c>
      <c r="AY3" t="s">
        <v>65</v>
      </c>
      <c r="AZ3">
        <v>0</v>
      </c>
      <c r="BA3" s="35">
        <v>0</v>
      </c>
      <c r="BB3" s="35">
        <v>650</v>
      </c>
      <c r="BC3" s="35">
        <v>100</v>
      </c>
      <c r="BD3" s="35">
        <v>650</v>
      </c>
      <c r="BE3" t="s">
        <v>53</v>
      </c>
    </row>
    <row r="4" spans="1:58">
      <c r="A4">
        <v>2019</v>
      </c>
      <c r="B4" s="2">
        <v>43846</v>
      </c>
      <c r="C4" s="2">
        <v>43985</v>
      </c>
      <c r="D4" s="23" t="s">
        <v>70</v>
      </c>
      <c r="E4" s="2" t="s">
        <v>70</v>
      </c>
      <c r="F4" s="2">
        <v>31030</v>
      </c>
      <c r="G4" s="5">
        <f t="shared" ca="1" si="0"/>
        <v>41.213888888888889</v>
      </c>
      <c r="H4" s="5">
        <v>21.68</v>
      </c>
      <c r="I4" s="2" t="s">
        <v>45</v>
      </c>
      <c r="J4" s="3" t="s">
        <v>46</v>
      </c>
      <c r="K4">
        <v>0</v>
      </c>
      <c r="L4" s="3">
        <v>0</v>
      </c>
      <c r="N4" s="3">
        <v>0</v>
      </c>
      <c r="O4" s="3">
        <v>0</v>
      </c>
      <c r="P4" s="3">
        <v>0</v>
      </c>
      <c r="Q4" s="3">
        <v>1</v>
      </c>
      <c r="R4" s="3">
        <v>1</v>
      </c>
      <c r="S4" s="3">
        <v>1</v>
      </c>
      <c r="T4" s="3">
        <v>0</v>
      </c>
      <c r="U4" t="s">
        <v>26</v>
      </c>
      <c r="V4" s="3">
        <v>1</v>
      </c>
      <c r="W4" s="3">
        <v>0</v>
      </c>
      <c r="X4">
        <v>0</v>
      </c>
      <c r="Y4">
        <v>0</v>
      </c>
      <c r="Z4" s="3">
        <v>0</v>
      </c>
      <c r="AA4" s="3">
        <v>1</v>
      </c>
      <c r="AB4" s="3">
        <v>0</v>
      </c>
      <c r="AC4" s="3">
        <v>0</v>
      </c>
      <c r="AD4" s="3">
        <v>0</v>
      </c>
      <c r="AE4" s="3">
        <v>1</v>
      </c>
      <c r="AF4" s="3">
        <v>1</v>
      </c>
      <c r="AG4" s="3">
        <v>0</v>
      </c>
      <c r="AH4" s="3">
        <v>1</v>
      </c>
      <c r="AI4" s="3">
        <v>1</v>
      </c>
      <c r="AJ4" s="3">
        <v>1</v>
      </c>
      <c r="AK4" s="3" t="s">
        <v>47</v>
      </c>
      <c r="AL4" s="3">
        <v>0</v>
      </c>
      <c r="AM4" s="3">
        <v>0</v>
      </c>
      <c r="AN4" s="26" t="s">
        <v>96</v>
      </c>
      <c r="AO4" s="7" t="s">
        <v>68</v>
      </c>
      <c r="AP4" t="s">
        <v>69</v>
      </c>
      <c r="AQ4">
        <v>0</v>
      </c>
      <c r="AR4" s="34">
        <v>44502</v>
      </c>
      <c r="AS4" s="35" t="s">
        <v>50</v>
      </c>
      <c r="AT4" s="35" t="s">
        <v>67</v>
      </c>
      <c r="AU4" s="35" t="s">
        <v>63</v>
      </c>
      <c r="AW4">
        <v>1</v>
      </c>
      <c r="AX4" s="35">
        <v>0</v>
      </c>
      <c r="AZ4">
        <v>0</v>
      </c>
      <c r="BA4" s="35">
        <v>0</v>
      </c>
      <c r="BB4" s="35">
        <v>450</v>
      </c>
      <c r="BC4" s="35">
        <v>150</v>
      </c>
      <c r="BD4" s="35">
        <v>545</v>
      </c>
      <c r="BE4" t="s">
        <v>53</v>
      </c>
    </row>
    <row r="5" spans="1:58">
      <c r="A5">
        <v>2019</v>
      </c>
      <c r="B5" s="2">
        <v>43852</v>
      </c>
      <c r="C5" s="2">
        <v>44244</v>
      </c>
      <c r="D5" s="23" t="s">
        <v>259</v>
      </c>
      <c r="E5" s="2" t="s">
        <v>73</v>
      </c>
      <c r="F5" s="2">
        <v>26142</v>
      </c>
      <c r="G5" s="5">
        <f t="shared" ca="1" si="0"/>
        <v>54.591666666666669</v>
      </c>
      <c r="H5" s="5">
        <v>18.21</v>
      </c>
      <c r="I5" s="2" t="s">
        <v>45</v>
      </c>
      <c r="J5" s="3" t="s">
        <v>71</v>
      </c>
      <c r="K5">
        <v>0</v>
      </c>
      <c r="L5" s="3">
        <v>0</v>
      </c>
      <c r="N5" s="3">
        <v>0</v>
      </c>
      <c r="O5" s="3">
        <v>0</v>
      </c>
      <c r="P5" s="3">
        <v>0</v>
      </c>
      <c r="Q5" s="3">
        <v>1</v>
      </c>
      <c r="R5" s="3">
        <v>0</v>
      </c>
      <c r="S5" s="3">
        <v>0</v>
      </c>
      <c r="T5" s="3">
        <v>1</v>
      </c>
      <c r="U5" t="s">
        <v>26</v>
      </c>
      <c r="V5" s="3">
        <v>1</v>
      </c>
      <c r="W5" s="3">
        <v>0</v>
      </c>
      <c r="X5">
        <v>0</v>
      </c>
      <c r="Y5">
        <v>0</v>
      </c>
      <c r="Z5" s="3">
        <v>0</v>
      </c>
      <c r="AA5" s="3">
        <v>1</v>
      </c>
      <c r="AB5" s="3">
        <v>0</v>
      </c>
      <c r="AC5" s="3">
        <v>1</v>
      </c>
      <c r="AD5" s="3">
        <v>1</v>
      </c>
      <c r="AE5" s="3">
        <v>1</v>
      </c>
      <c r="AF5" s="3">
        <v>1</v>
      </c>
      <c r="AG5" s="3">
        <v>0</v>
      </c>
      <c r="AH5" s="3">
        <v>1</v>
      </c>
      <c r="AI5" s="3">
        <v>1</v>
      </c>
      <c r="AJ5" s="3">
        <v>0</v>
      </c>
      <c r="AK5" s="3" t="s">
        <v>47</v>
      </c>
      <c r="AL5" s="3">
        <v>0</v>
      </c>
      <c r="AM5" s="3">
        <v>0</v>
      </c>
      <c r="AN5" s="3" t="s">
        <v>172</v>
      </c>
      <c r="AO5" s="6" t="s">
        <v>72</v>
      </c>
      <c r="AP5" t="s">
        <v>69</v>
      </c>
      <c r="AQ5">
        <v>0</v>
      </c>
      <c r="AR5" s="34">
        <v>45887</v>
      </c>
      <c r="AS5" s="35" t="s">
        <v>50</v>
      </c>
      <c r="AT5" s="35" t="s">
        <v>67</v>
      </c>
      <c r="AU5" s="35" t="s">
        <v>75</v>
      </c>
      <c r="AV5" s="35" t="s">
        <v>210</v>
      </c>
      <c r="AW5">
        <v>1</v>
      </c>
      <c r="AX5" s="35">
        <v>1</v>
      </c>
      <c r="AY5" t="s">
        <v>76</v>
      </c>
      <c r="AZ5">
        <v>1</v>
      </c>
      <c r="BA5" s="35">
        <v>1</v>
      </c>
      <c r="BB5" s="35">
        <v>250</v>
      </c>
      <c r="BC5" s="35">
        <v>0</v>
      </c>
      <c r="BD5" s="35">
        <v>170</v>
      </c>
      <c r="BE5" t="s">
        <v>77</v>
      </c>
    </row>
    <row r="6" spans="1:58">
      <c r="A6">
        <v>2014</v>
      </c>
      <c r="B6" s="2">
        <v>43873</v>
      </c>
      <c r="C6" s="2">
        <v>44026</v>
      </c>
      <c r="D6" s="23" t="s">
        <v>251</v>
      </c>
      <c r="E6" s="2" t="s">
        <v>81</v>
      </c>
      <c r="F6" s="2">
        <v>29260</v>
      </c>
      <c r="G6" s="5">
        <f t="shared" ca="1" si="0"/>
        <v>46.06111111111111</v>
      </c>
      <c r="H6" s="5">
        <v>25.55</v>
      </c>
      <c r="I6" s="2" t="s">
        <v>45</v>
      </c>
      <c r="J6" s="3" t="s">
        <v>71</v>
      </c>
      <c r="K6">
        <v>0</v>
      </c>
      <c r="L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1</v>
      </c>
      <c r="T6" s="3">
        <v>0</v>
      </c>
      <c r="U6" t="s">
        <v>26</v>
      </c>
      <c r="V6" s="3">
        <v>0</v>
      </c>
      <c r="W6" s="3">
        <v>1</v>
      </c>
      <c r="X6" t="s">
        <v>82</v>
      </c>
      <c r="Y6" t="s">
        <v>82</v>
      </c>
      <c r="Z6" s="3">
        <v>1</v>
      </c>
      <c r="AA6" s="3">
        <v>1</v>
      </c>
      <c r="AB6" s="3">
        <v>0</v>
      </c>
      <c r="AC6" s="3">
        <v>1</v>
      </c>
      <c r="AD6" s="3">
        <v>1</v>
      </c>
      <c r="AE6" s="3">
        <v>1</v>
      </c>
      <c r="AF6" s="3">
        <v>1</v>
      </c>
      <c r="AG6" s="3">
        <v>0</v>
      </c>
      <c r="AH6" s="3">
        <v>1</v>
      </c>
      <c r="AI6" s="3">
        <v>0</v>
      </c>
      <c r="AJ6" s="3">
        <v>1</v>
      </c>
      <c r="AK6" s="3" t="s">
        <v>47</v>
      </c>
      <c r="AL6" s="3">
        <v>2</v>
      </c>
      <c r="AM6" s="3">
        <v>1</v>
      </c>
      <c r="AN6" s="3" t="s">
        <v>111</v>
      </c>
      <c r="AO6" t="s">
        <v>80</v>
      </c>
      <c r="AP6" t="s">
        <v>79</v>
      </c>
      <c r="AQ6">
        <v>0</v>
      </c>
      <c r="AR6" s="34">
        <v>46042</v>
      </c>
      <c r="AS6" s="35" t="s">
        <v>54</v>
      </c>
      <c r="AW6">
        <v>0</v>
      </c>
      <c r="AX6" s="35">
        <v>0</v>
      </c>
      <c r="AZ6">
        <v>0</v>
      </c>
      <c r="BA6" s="35">
        <v>0</v>
      </c>
      <c r="BB6" s="35">
        <v>300</v>
      </c>
      <c r="BC6" s="35">
        <v>200</v>
      </c>
      <c r="BD6" s="35">
        <v>300</v>
      </c>
      <c r="BE6" t="s">
        <v>77</v>
      </c>
    </row>
    <row r="7" spans="1:58">
      <c r="A7">
        <v>2019</v>
      </c>
      <c r="B7" s="2">
        <v>43938</v>
      </c>
      <c r="C7" s="2">
        <v>44084</v>
      </c>
      <c r="D7" s="23" t="s">
        <v>70</v>
      </c>
      <c r="E7" s="2" t="s">
        <v>89</v>
      </c>
      <c r="F7" s="2">
        <v>28651</v>
      </c>
      <c r="G7" s="5">
        <f t="shared" ca="1" si="0"/>
        <v>47.725000000000001</v>
      </c>
      <c r="H7" s="5">
        <v>24.34</v>
      </c>
      <c r="I7" s="2" t="s">
        <v>45</v>
      </c>
      <c r="J7" s="3" t="s">
        <v>254</v>
      </c>
      <c r="K7">
        <v>0</v>
      </c>
      <c r="L7" s="3">
        <v>0</v>
      </c>
      <c r="N7" s="3">
        <v>0</v>
      </c>
      <c r="O7" s="3">
        <v>0</v>
      </c>
      <c r="P7" s="3">
        <v>0</v>
      </c>
      <c r="Q7" s="3">
        <v>0</v>
      </c>
      <c r="R7" s="3">
        <v>1</v>
      </c>
      <c r="S7" s="3">
        <v>0</v>
      </c>
      <c r="T7" s="3">
        <v>1</v>
      </c>
      <c r="U7" t="s">
        <v>26</v>
      </c>
      <c r="V7" s="3">
        <v>0</v>
      </c>
      <c r="W7" s="3">
        <v>1</v>
      </c>
      <c r="X7">
        <v>1</v>
      </c>
      <c r="Y7">
        <v>0</v>
      </c>
      <c r="Z7" s="3">
        <v>1</v>
      </c>
      <c r="AA7" s="3">
        <v>1</v>
      </c>
      <c r="AB7" s="3">
        <v>1</v>
      </c>
      <c r="AC7" s="3">
        <v>1</v>
      </c>
      <c r="AD7" s="3">
        <v>1</v>
      </c>
      <c r="AE7" s="3">
        <v>1</v>
      </c>
      <c r="AF7" s="3">
        <v>1</v>
      </c>
      <c r="AG7" s="3">
        <v>0</v>
      </c>
      <c r="AH7" s="3">
        <v>0</v>
      </c>
      <c r="AI7" s="3">
        <v>0</v>
      </c>
      <c r="AJ7" s="3">
        <v>0</v>
      </c>
      <c r="AK7" s="3" t="s">
        <v>85</v>
      </c>
      <c r="AL7" s="3">
        <v>2</v>
      </c>
      <c r="AM7" s="3">
        <v>0</v>
      </c>
      <c r="AN7" s="3">
        <v>0</v>
      </c>
      <c r="AO7" s="6" t="s">
        <v>87</v>
      </c>
      <c r="AP7" t="s">
        <v>86</v>
      </c>
      <c r="AQ7">
        <v>0</v>
      </c>
      <c r="AR7" s="34">
        <v>45965</v>
      </c>
      <c r="AS7" s="35" t="s">
        <v>54</v>
      </c>
      <c r="AW7">
        <v>0</v>
      </c>
      <c r="AX7" s="35">
        <v>1</v>
      </c>
      <c r="AY7" t="s">
        <v>88</v>
      </c>
      <c r="AZ7">
        <v>1</v>
      </c>
      <c r="BA7" s="35">
        <v>0</v>
      </c>
      <c r="BB7" s="35">
        <v>550</v>
      </c>
      <c r="BC7" s="35">
        <v>400</v>
      </c>
      <c r="BD7" s="35" t="s">
        <v>84</v>
      </c>
      <c r="BE7" t="s">
        <v>83</v>
      </c>
    </row>
    <row r="8" spans="1:58">
      <c r="A8">
        <v>2019</v>
      </c>
      <c r="B8" s="2">
        <v>43882</v>
      </c>
      <c r="C8" s="2">
        <v>44089</v>
      </c>
      <c r="D8" s="23" t="s">
        <v>70</v>
      </c>
      <c r="E8" s="2" t="s">
        <v>92</v>
      </c>
      <c r="F8" s="2">
        <v>24762</v>
      </c>
      <c r="G8" s="5">
        <f t="shared" ca="1" si="0"/>
        <v>58.37222222222222</v>
      </c>
      <c r="H8" s="5">
        <v>22.1</v>
      </c>
      <c r="I8" s="2" t="s">
        <v>45</v>
      </c>
      <c r="J8" s="3" t="s">
        <v>46</v>
      </c>
      <c r="K8">
        <v>0</v>
      </c>
      <c r="L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1</v>
      </c>
      <c r="T8" s="3">
        <v>0</v>
      </c>
      <c r="U8" t="s">
        <v>26</v>
      </c>
      <c r="V8" s="3">
        <v>1</v>
      </c>
      <c r="W8" s="3">
        <v>0</v>
      </c>
      <c r="X8">
        <v>0</v>
      </c>
      <c r="Y8">
        <v>0</v>
      </c>
      <c r="Z8" s="3">
        <v>0</v>
      </c>
      <c r="AA8" s="3">
        <v>1</v>
      </c>
      <c r="AB8" s="3">
        <v>0</v>
      </c>
      <c r="AC8" s="3">
        <v>0</v>
      </c>
      <c r="AD8" s="3">
        <v>1</v>
      </c>
      <c r="AE8" s="3">
        <v>1</v>
      </c>
      <c r="AF8" s="3">
        <v>1</v>
      </c>
      <c r="AG8" s="3">
        <v>0</v>
      </c>
      <c r="AH8" s="3">
        <v>1</v>
      </c>
      <c r="AI8" s="3">
        <v>0</v>
      </c>
      <c r="AJ8" s="3">
        <v>0</v>
      </c>
      <c r="AK8" s="3" t="s">
        <v>85</v>
      </c>
      <c r="AL8" s="3">
        <v>2</v>
      </c>
      <c r="AM8" s="3">
        <v>1</v>
      </c>
      <c r="AN8" s="3" t="s">
        <v>96</v>
      </c>
      <c r="AO8" s="6" t="s">
        <v>90</v>
      </c>
      <c r="AP8" t="s">
        <v>91</v>
      </c>
      <c r="AQ8">
        <v>0</v>
      </c>
      <c r="AR8" s="34">
        <v>44217</v>
      </c>
      <c r="AS8" s="35" t="s">
        <v>54</v>
      </c>
      <c r="AT8" s="35" t="s">
        <v>67</v>
      </c>
      <c r="AW8">
        <v>0</v>
      </c>
      <c r="AX8" s="35">
        <v>0</v>
      </c>
      <c r="AZ8">
        <v>0</v>
      </c>
      <c r="BA8" s="35">
        <v>0</v>
      </c>
      <c r="BB8" s="35">
        <v>550</v>
      </c>
      <c r="BC8" s="35">
        <v>100</v>
      </c>
      <c r="BD8" s="35">
        <v>525</v>
      </c>
      <c r="BE8" t="s">
        <v>77</v>
      </c>
    </row>
    <row r="9" spans="1:58">
      <c r="A9">
        <v>2020</v>
      </c>
      <c r="B9" s="2">
        <v>43887</v>
      </c>
      <c r="C9" s="2">
        <v>44012</v>
      </c>
      <c r="D9" s="23" t="s">
        <v>70</v>
      </c>
      <c r="E9" s="2" t="s">
        <v>98</v>
      </c>
      <c r="F9" s="2">
        <v>24595</v>
      </c>
      <c r="G9" s="5">
        <f t="shared" ca="1" si="0"/>
        <v>58.827777777777776</v>
      </c>
      <c r="H9" s="5">
        <v>23.49</v>
      </c>
      <c r="I9" s="2" t="s">
        <v>45</v>
      </c>
      <c r="J9" s="3" t="s">
        <v>71</v>
      </c>
      <c r="K9">
        <v>1</v>
      </c>
      <c r="L9" s="3">
        <v>0</v>
      </c>
      <c r="N9" s="3">
        <v>1</v>
      </c>
      <c r="O9" s="3">
        <v>0</v>
      </c>
      <c r="P9" s="3">
        <v>0</v>
      </c>
      <c r="Q9" s="3">
        <v>0</v>
      </c>
      <c r="R9" s="3">
        <v>0</v>
      </c>
      <c r="S9" s="3">
        <v>1</v>
      </c>
      <c r="T9" s="3">
        <v>0</v>
      </c>
      <c r="U9" t="s">
        <v>26</v>
      </c>
      <c r="V9" s="3">
        <v>1</v>
      </c>
      <c r="W9" s="3">
        <v>0</v>
      </c>
      <c r="X9">
        <v>0</v>
      </c>
      <c r="Y9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1</v>
      </c>
      <c r="AF9" s="3">
        <v>1</v>
      </c>
      <c r="AG9" s="3">
        <v>1</v>
      </c>
      <c r="AH9" s="3">
        <v>1</v>
      </c>
      <c r="AI9" s="3">
        <v>1</v>
      </c>
      <c r="AJ9" s="3">
        <v>0</v>
      </c>
      <c r="AK9" s="3" t="s">
        <v>47</v>
      </c>
      <c r="AL9" s="3">
        <v>0</v>
      </c>
      <c r="AM9" s="3">
        <v>0</v>
      </c>
      <c r="AN9" s="26" t="s">
        <v>172</v>
      </c>
      <c r="AO9" t="s">
        <v>97</v>
      </c>
      <c r="AP9" t="s">
        <v>99</v>
      </c>
      <c r="AQ9">
        <v>0</v>
      </c>
      <c r="AR9" s="34">
        <v>44622</v>
      </c>
      <c r="AS9" s="35" t="s">
        <v>50</v>
      </c>
      <c r="AT9" s="35" t="s">
        <v>260</v>
      </c>
      <c r="AU9" s="35" t="s">
        <v>100</v>
      </c>
      <c r="AV9" s="35" t="s">
        <v>210</v>
      </c>
      <c r="AW9">
        <v>0</v>
      </c>
      <c r="AX9" s="35">
        <v>0</v>
      </c>
      <c r="AZ9">
        <v>0</v>
      </c>
      <c r="BA9" s="35">
        <v>0</v>
      </c>
      <c r="BB9" s="35">
        <v>550</v>
      </c>
      <c r="BC9" s="35">
        <v>50</v>
      </c>
      <c r="BD9" s="35">
        <v>465</v>
      </c>
      <c r="BE9" t="s">
        <v>77</v>
      </c>
    </row>
    <row r="10" spans="1:58">
      <c r="A10">
        <v>2019</v>
      </c>
      <c r="B10" s="2">
        <v>43945</v>
      </c>
      <c r="C10" s="2">
        <v>44244</v>
      </c>
      <c r="D10" s="23" t="s">
        <v>70</v>
      </c>
      <c r="E10" s="2" t="s">
        <v>102</v>
      </c>
      <c r="F10" s="2">
        <v>24240</v>
      </c>
      <c r="G10" s="5">
        <f t="shared" ca="1" si="0"/>
        <v>59.8</v>
      </c>
      <c r="H10" s="5">
        <v>30.61</v>
      </c>
      <c r="I10" s="2" t="s">
        <v>45</v>
      </c>
      <c r="J10" s="3" t="s">
        <v>46</v>
      </c>
      <c r="K10">
        <v>1</v>
      </c>
      <c r="L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1</v>
      </c>
      <c r="S10" s="3">
        <v>0</v>
      </c>
      <c r="T10" s="3">
        <v>1</v>
      </c>
      <c r="U10" t="s">
        <v>26</v>
      </c>
      <c r="V10" s="3">
        <v>0</v>
      </c>
      <c r="W10" s="3">
        <v>1</v>
      </c>
      <c r="X10">
        <v>1</v>
      </c>
      <c r="Y10">
        <v>0</v>
      </c>
      <c r="Z10" s="3">
        <v>1</v>
      </c>
      <c r="AA10" s="3">
        <v>0</v>
      </c>
      <c r="AB10" s="3">
        <v>0</v>
      </c>
      <c r="AC10" s="3">
        <v>0</v>
      </c>
      <c r="AD10" s="3">
        <v>0</v>
      </c>
      <c r="AE10" s="3">
        <v>1</v>
      </c>
      <c r="AF10" s="3">
        <v>1</v>
      </c>
      <c r="AG10" s="3">
        <v>0</v>
      </c>
      <c r="AH10" s="3">
        <v>1</v>
      </c>
      <c r="AI10" s="3">
        <v>0</v>
      </c>
      <c r="AJ10" s="3">
        <v>0</v>
      </c>
      <c r="AK10" s="3" t="s">
        <v>47</v>
      </c>
      <c r="AL10" s="3">
        <v>2</v>
      </c>
      <c r="AM10" s="3">
        <v>0</v>
      </c>
      <c r="AN10" s="3" t="s">
        <v>101</v>
      </c>
      <c r="AO10" s="6" t="s">
        <v>103</v>
      </c>
      <c r="AP10" s="8" t="s">
        <v>104</v>
      </c>
      <c r="AQ10">
        <v>0</v>
      </c>
      <c r="AR10" s="34">
        <v>45054</v>
      </c>
      <c r="AS10" s="35" t="s">
        <v>54</v>
      </c>
      <c r="AW10">
        <v>0</v>
      </c>
      <c r="AX10" s="35">
        <v>0</v>
      </c>
      <c r="AZ10">
        <v>0</v>
      </c>
      <c r="BA10" s="35">
        <v>0</v>
      </c>
      <c r="BB10" s="35">
        <v>550</v>
      </c>
      <c r="BC10" s="35">
        <v>200</v>
      </c>
      <c r="BD10" s="35">
        <v>400</v>
      </c>
      <c r="BE10" t="s">
        <v>77</v>
      </c>
    </row>
    <row r="11" spans="1:58">
      <c r="A11">
        <v>2020</v>
      </c>
      <c r="B11" s="2">
        <v>43951</v>
      </c>
      <c r="C11" s="2">
        <v>44105</v>
      </c>
      <c r="D11" s="23" t="s">
        <v>61</v>
      </c>
      <c r="E11" s="2" t="s">
        <v>165</v>
      </c>
      <c r="F11" s="2">
        <v>26926</v>
      </c>
      <c r="G11" s="5">
        <f t="shared" ca="1" si="0"/>
        <v>52.45</v>
      </c>
      <c r="H11" s="5">
        <v>30.72</v>
      </c>
      <c r="I11" s="2" t="s">
        <v>45</v>
      </c>
      <c r="J11" s="3" t="s">
        <v>46</v>
      </c>
      <c r="K11">
        <v>1</v>
      </c>
      <c r="L11" s="3">
        <v>0</v>
      </c>
      <c r="N11" s="3">
        <v>0</v>
      </c>
      <c r="O11" s="3">
        <v>0</v>
      </c>
      <c r="P11" s="3">
        <v>0</v>
      </c>
      <c r="Q11" s="3" t="s">
        <v>93</v>
      </c>
      <c r="R11" s="3">
        <v>1</v>
      </c>
      <c r="S11" s="3">
        <v>1</v>
      </c>
      <c r="T11" s="3">
        <v>0</v>
      </c>
      <c r="U11" t="s">
        <v>26</v>
      </c>
      <c r="V11" s="3">
        <v>0</v>
      </c>
      <c r="W11" s="3">
        <v>1</v>
      </c>
      <c r="X11" t="s">
        <v>82</v>
      </c>
      <c r="Y11" t="s">
        <v>82</v>
      </c>
      <c r="Z11" s="19">
        <v>0</v>
      </c>
      <c r="AA11" s="3">
        <v>1</v>
      </c>
      <c r="AB11" s="3">
        <v>1</v>
      </c>
      <c r="AC11" s="3">
        <v>0</v>
      </c>
      <c r="AD11" s="3">
        <v>0</v>
      </c>
      <c r="AE11" s="3">
        <v>1</v>
      </c>
      <c r="AF11" s="3">
        <v>1</v>
      </c>
      <c r="AG11" s="3">
        <v>0</v>
      </c>
      <c r="AH11" s="3">
        <v>1</v>
      </c>
      <c r="AI11" s="3">
        <v>0</v>
      </c>
      <c r="AJ11" s="3">
        <v>1</v>
      </c>
      <c r="AK11" s="3" t="s">
        <v>85</v>
      </c>
      <c r="AL11" s="3">
        <v>0</v>
      </c>
      <c r="AM11" s="3">
        <v>0</v>
      </c>
      <c r="AN11" s="3" t="s">
        <v>96</v>
      </c>
      <c r="AO11" s="6" t="s">
        <v>168</v>
      </c>
      <c r="AP11" t="s">
        <v>166</v>
      </c>
      <c r="AQ11">
        <v>0</v>
      </c>
      <c r="AR11" s="34">
        <v>44992</v>
      </c>
      <c r="AS11" s="35" t="s">
        <v>50</v>
      </c>
      <c r="AT11" s="35" t="s">
        <v>176</v>
      </c>
      <c r="AU11" s="35" t="s">
        <v>261</v>
      </c>
      <c r="AW11">
        <v>0</v>
      </c>
      <c r="AX11" s="35">
        <v>1</v>
      </c>
      <c r="AY11" t="s">
        <v>167</v>
      </c>
      <c r="AZ11">
        <v>0</v>
      </c>
      <c r="BA11" s="35">
        <v>0</v>
      </c>
      <c r="BB11" s="35">
        <v>750</v>
      </c>
      <c r="BC11" s="35">
        <v>100</v>
      </c>
      <c r="BD11" s="35">
        <v>750</v>
      </c>
      <c r="BE11" t="s">
        <v>77</v>
      </c>
    </row>
    <row r="12" spans="1:58">
      <c r="A12">
        <v>2019</v>
      </c>
      <c r="B12" s="2">
        <v>44005</v>
      </c>
      <c r="C12" s="2">
        <v>44383</v>
      </c>
      <c r="D12" s="23" t="s">
        <v>70</v>
      </c>
      <c r="E12" s="2" t="s">
        <v>170</v>
      </c>
      <c r="F12" s="2">
        <v>34325</v>
      </c>
      <c r="G12" s="5">
        <f t="shared" ca="1" si="0"/>
        <v>32.19166666666667</v>
      </c>
      <c r="H12" s="5">
        <v>20.9</v>
      </c>
      <c r="I12" s="2" t="s">
        <v>45</v>
      </c>
      <c r="J12" s="3" t="s">
        <v>254</v>
      </c>
      <c r="K12">
        <v>0</v>
      </c>
      <c r="L12" s="3">
        <v>0</v>
      </c>
      <c r="N12" s="3">
        <v>0</v>
      </c>
      <c r="O12" s="3">
        <v>0</v>
      </c>
      <c r="P12" s="3">
        <v>0</v>
      </c>
      <c r="Q12" s="3">
        <v>0</v>
      </c>
      <c r="R12" s="3" t="s">
        <v>169</v>
      </c>
      <c r="S12" s="3">
        <v>1</v>
      </c>
      <c r="T12" s="3">
        <v>0</v>
      </c>
      <c r="U12" t="s">
        <v>26</v>
      </c>
      <c r="V12" s="3">
        <v>1</v>
      </c>
      <c r="W12" s="3">
        <v>0</v>
      </c>
      <c r="X12">
        <v>0</v>
      </c>
      <c r="Y12">
        <v>0</v>
      </c>
      <c r="Z12" s="3">
        <v>1</v>
      </c>
      <c r="AA12" s="3">
        <v>1</v>
      </c>
      <c r="AB12" s="3">
        <v>0</v>
      </c>
      <c r="AC12" s="3">
        <v>1</v>
      </c>
      <c r="AD12" s="3">
        <v>1</v>
      </c>
      <c r="AE12" s="3">
        <v>1</v>
      </c>
      <c r="AF12" s="3">
        <v>1</v>
      </c>
      <c r="AG12" s="3">
        <v>1</v>
      </c>
      <c r="AH12" s="3">
        <v>1</v>
      </c>
      <c r="AI12" s="3">
        <v>1</v>
      </c>
      <c r="AJ12" s="3">
        <v>1</v>
      </c>
      <c r="AK12" s="3" t="s">
        <v>85</v>
      </c>
      <c r="AL12" s="3">
        <v>2</v>
      </c>
      <c r="AM12" s="3">
        <v>1</v>
      </c>
      <c r="AN12" s="3" t="s">
        <v>172</v>
      </c>
      <c r="AO12" s="6" t="s">
        <v>171</v>
      </c>
      <c r="AP12" t="s">
        <v>173</v>
      </c>
      <c r="AQ12">
        <v>0</v>
      </c>
      <c r="AR12" s="34">
        <v>45512</v>
      </c>
      <c r="AS12" s="35" t="s">
        <v>50</v>
      </c>
      <c r="AT12" s="35" t="s">
        <v>260</v>
      </c>
      <c r="AU12" s="35" t="s">
        <v>176</v>
      </c>
      <c r="AV12" s="35" t="s">
        <v>177</v>
      </c>
      <c r="AW12">
        <v>0</v>
      </c>
      <c r="AX12" s="35">
        <v>1</v>
      </c>
      <c r="AY12" t="s">
        <v>174</v>
      </c>
      <c r="AZ12">
        <v>1</v>
      </c>
      <c r="BA12" s="35">
        <v>1</v>
      </c>
      <c r="BB12" s="35">
        <v>350</v>
      </c>
      <c r="BC12" s="35">
        <v>50</v>
      </c>
      <c r="BD12" s="35" t="s">
        <v>175</v>
      </c>
      <c r="BE12" t="s">
        <v>77</v>
      </c>
    </row>
    <row r="13" spans="1:58">
      <c r="A13">
        <v>2020</v>
      </c>
      <c r="B13" s="2">
        <v>43991</v>
      </c>
      <c r="C13" s="2">
        <v>44134</v>
      </c>
      <c r="D13" s="23" t="s">
        <v>70</v>
      </c>
      <c r="E13" s="2" t="s">
        <v>115</v>
      </c>
      <c r="F13" s="2">
        <v>29223</v>
      </c>
      <c r="G13" s="5">
        <f t="shared" ca="1" si="0"/>
        <v>46.161111111111111</v>
      </c>
      <c r="H13" s="5">
        <v>23.96</v>
      </c>
      <c r="I13" s="2" t="s">
        <v>45</v>
      </c>
      <c r="J13" s="3" t="s">
        <v>254</v>
      </c>
      <c r="K13">
        <v>0</v>
      </c>
      <c r="L13" s="3">
        <v>0</v>
      </c>
      <c r="N13" s="3">
        <v>0</v>
      </c>
      <c r="O13" s="3">
        <v>0</v>
      </c>
      <c r="P13" s="3">
        <v>0</v>
      </c>
      <c r="Q13" s="3" t="s">
        <v>93</v>
      </c>
      <c r="R13" s="3">
        <v>0</v>
      </c>
      <c r="S13" s="3">
        <v>1</v>
      </c>
      <c r="T13" s="3">
        <v>0</v>
      </c>
      <c r="U13" t="s">
        <v>26</v>
      </c>
      <c r="V13" s="3">
        <v>1</v>
      </c>
      <c r="W13" s="3">
        <v>0</v>
      </c>
      <c r="X13">
        <v>0</v>
      </c>
      <c r="Y13">
        <v>0</v>
      </c>
      <c r="Z13" s="3">
        <v>1</v>
      </c>
      <c r="AA13" s="3">
        <v>1</v>
      </c>
      <c r="AB13" s="3">
        <v>0</v>
      </c>
      <c r="AC13" s="3">
        <v>0</v>
      </c>
      <c r="AD13" s="3">
        <v>1</v>
      </c>
      <c r="AE13" s="3">
        <v>1</v>
      </c>
      <c r="AF13" s="3">
        <v>1</v>
      </c>
      <c r="AG13" s="3">
        <v>1</v>
      </c>
      <c r="AH13" s="3">
        <v>1</v>
      </c>
      <c r="AI13" s="3">
        <v>1</v>
      </c>
      <c r="AJ13" s="3">
        <v>0</v>
      </c>
      <c r="AK13" s="3" t="s">
        <v>47</v>
      </c>
      <c r="AL13" s="3">
        <v>0</v>
      </c>
      <c r="AM13" s="3">
        <v>0</v>
      </c>
      <c r="AN13" s="3" t="s">
        <v>172</v>
      </c>
      <c r="AO13" s="6" t="s">
        <v>179</v>
      </c>
      <c r="AP13" t="s">
        <v>180</v>
      </c>
      <c r="AQ13">
        <v>0</v>
      </c>
      <c r="AR13" s="34">
        <v>45331</v>
      </c>
      <c r="AS13" s="35" t="s">
        <v>54</v>
      </c>
      <c r="AW13">
        <v>0</v>
      </c>
      <c r="AX13" s="35">
        <v>0</v>
      </c>
      <c r="AZ13">
        <v>0</v>
      </c>
      <c r="BA13" s="35">
        <v>0</v>
      </c>
      <c r="BB13" s="35">
        <v>350</v>
      </c>
      <c r="BC13" s="35">
        <v>60</v>
      </c>
      <c r="BD13" s="35" t="s">
        <v>178</v>
      </c>
      <c r="BE13" t="s">
        <v>77</v>
      </c>
    </row>
    <row r="14" spans="1:58">
      <c r="A14">
        <v>2020</v>
      </c>
      <c r="B14" s="2">
        <v>44029</v>
      </c>
      <c r="C14" s="2">
        <v>409506</v>
      </c>
      <c r="D14" s="23" t="s">
        <v>70</v>
      </c>
      <c r="E14" s="2" t="s">
        <v>115</v>
      </c>
      <c r="F14" s="2">
        <v>31562</v>
      </c>
      <c r="G14" s="5">
        <f t="shared" ca="1" si="0"/>
        <v>39.75277777777778</v>
      </c>
      <c r="H14" s="5">
        <v>19.309999999999999</v>
      </c>
      <c r="I14" s="2" t="s">
        <v>45</v>
      </c>
      <c r="J14" s="3" t="s">
        <v>254</v>
      </c>
      <c r="K14">
        <v>0</v>
      </c>
      <c r="L14" s="3">
        <v>0</v>
      </c>
      <c r="N14" s="3">
        <v>0</v>
      </c>
      <c r="O14" s="3">
        <v>0</v>
      </c>
      <c r="P14" s="3">
        <v>0</v>
      </c>
      <c r="Q14" s="3">
        <v>0</v>
      </c>
      <c r="S14" s="3">
        <v>1</v>
      </c>
      <c r="T14" s="3">
        <v>0</v>
      </c>
      <c r="U14" t="s">
        <v>26</v>
      </c>
      <c r="V14" s="3">
        <v>1</v>
      </c>
      <c r="W14" s="3">
        <v>0</v>
      </c>
      <c r="X14">
        <v>0</v>
      </c>
      <c r="Y14">
        <v>0</v>
      </c>
      <c r="Z14" s="3">
        <v>1</v>
      </c>
      <c r="AA14" s="3">
        <v>0</v>
      </c>
      <c r="AB14" s="3">
        <v>0</v>
      </c>
      <c r="AC14" s="3">
        <v>1</v>
      </c>
      <c r="AD14" s="3">
        <v>1</v>
      </c>
      <c r="AE14" s="3">
        <v>1</v>
      </c>
      <c r="AF14" s="3">
        <v>1</v>
      </c>
      <c r="AG14" s="3">
        <v>1</v>
      </c>
      <c r="AH14" s="3">
        <v>1</v>
      </c>
      <c r="AI14" s="3">
        <v>1</v>
      </c>
      <c r="AJ14" s="3">
        <v>0</v>
      </c>
      <c r="AK14" s="3" t="s">
        <v>85</v>
      </c>
      <c r="AL14" s="3">
        <v>2</v>
      </c>
      <c r="AM14" s="3">
        <v>0</v>
      </c>
      <c r="AN14" s="3" t="s">
        <v>101</v>
      </c>
      <c r="AO14" s="6" t="s">
        <v>181</v>
      </c>
      <c r="AP14" t="s">
        <v>182</v>
      </c>
      <c r="AQ14">
        <v>0</v>
      </c>
      <c r="AR14" s="34">
        <v>44411</v>
      </c>
      <c r="AS14" s="35" t="s">
        <v>50</v>
      </c>
      <c r="AT14" s="35" t="s">
        <v>239</v>
      </c>
      <c r="AW14">
        <v>1</v>
      </c>
      <c r="AX14" s="35">
        <v>1</v>
      </c>
      <c r="AY14" t="s">
        <v>183</v>
      </c>
      <c r="AZ14">
        <v>1</v>
      </c>
      <c r="BA14" s="35">
        <v>1</v>
      </c>
      <c r="BB14" s="35">
        <v>350</v>
      </c>
      <c r="BC14" s="35">
        <v>0</v>
      </c>
      <c r="BD14" s="35">
        <v>365</v>
      </c>
      <c r="BE14" t="s">
        <v>77</v>
      </c>
    </row>
    <row r="15" spans="1:58">
      <c r="A15">
        <v>2020</v>
      </c>
      <c r="B15" s="2">
        <v>44013</v>
      </c>
      <c r="C15" s="2">
        <v>44117</v>
      </c>
      <c r="D15" s="23" t="s">
        <v>70</v>
      </c>
      <c r="E15" s="2" t="s">
        <v>170</v>
      </c>
      <c r="F15" s="2">
        <v>27291</v>
      </c>
      <c r="G15" s="5">
        <f t="shared" ca="1" si="0"/>
        <v>51.45</v>
      </c>
      <c r="H15" s="5">
        <v>18.54</v>
      </c>
      <c r="I15" s="2" t="s">
        <v>45</v>
      </c>
      <c r="J15" s="3" t="s">
        <v>46</v>
      </c>
      <c r="K15">
        <v>0</v>
      </c>
      <c r="L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1</v>
      </c>
      <c r="S15" s="3">
        <v>1</v>
      </c>
      <c r="T15" s="3">
        <v>0</v>
      </c>
      <c r="U15" t="s">
        <v>26</v>
      </c>
      <c r="V15" s="3">
        <v>1</v>
      </c>
      <c r="W15" s="3">
        <v>0</v>
      </c>
      <c r="X15">
        <v>0</v>
      </c>
      <c r="Y15">
        <v>0</v>
      </c>
      <c r="Z15" s="3">
        <v>0</v>
      </c>
      <c r="AA15" s="3">
        <v>1</v>
      </c>
      <c r="AB15" s="3">
        <v>0</v>
      </c>
      <c r="AC15" s="3">
        <v>0</v>
      </c>
      <c r="AD15" s="3">
        <v>0</v>
      </c>
      <c r="AE15" s="3">
        <v>1</v>
      </c>
      <c r="AF15" s="3">
        <v>1</v>
      </c>
      <c r="AG15" s="40">
        <v>0</v>
      </c>
      <c r="AH15" s="3">
        <v>1</v>
      </c>
      <c r="AI15" s="3">
        <v>1</v>
      </c>
      <c r="AJ15" s="3">
        <v>0</v>
      </c>
      <c r="AK15" s="3" t="s">
        <v>185</v>
      </c>
      <c r="AL15" s="3">
        <v>2</v>
      </c>
      <c r="AM15" s="3">
        <v>1</v>
      </c>
      <c r="AN15" s="3" t="s">
        <v>96</v>
      </c>
      <c r="AO15" s="6" t="s">
        <v>184</v>
      </c>
      <c r="AP15" t="s">
        <v>95</v>
      </c>
      <c r="AQ15">
        <v>0</v>
      </c>
      <c r="AR15" s="34">
        <v>45992</v>
      </c>
      <c r="AS15" s="35" t="s">
        <v>54</v>
      </c>
      <c r="AT15" s="35" t="s">
        <v>255</v>
      </c>
      <c r="AW15">
        <v>0</v>
      </c>
      <c r="AX15" s="35">
        <v>0</v>
      </c>
      <c r="AZ15">
        <v>0</v>
      </c>
      <c r="BA15" s="35">
        <v>0</v>
      </c>
      <c r="BB15" s="35">
        <v>350</v>
      </c>
      <c r="BC15" s="35">
        <v>50</v>
      </c>
      <c r="BD15" s="35">
        <v>330</v>
      </c>
      <c r="BE15" t="s">
        <v>77</v>
      </c>
    </row>
    <row r="16" spans="1:58">
      <c r="A16">
        <v>2019</v>
      </c>
      <c r="B16" s="2">
        <v>43938</v>
      </c>
      <c r="C16" s="2">
        <v>44084</v>
      </c>
      <c r="D16" s="23" t="s">
        <v>70</v>
      </c>
      <c r="E16" s="2" t="s">
        <v>115</v>
      </c>
      <c r="F16" s="2">
        <v>28651</v>
      </c>
      <c r="G16" s="5">
        <f t="shared" ca="1" si="0"/>
        <v>47.725000000000001</v>
      </c>
      <c r="H16" s="5">
        <v>24.34</v>
      </c>
      <c r="I16" s="2" t="s">
        <v>45</v>
      </c>
      <c r="J16" s="3" t="s">
        <v>254</v>
      </c>
      <c r="K16">
        <v>0</v>
      </c>
      <c r="L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1</v>
      </c>
      <c r="U16" t="s">
        <v>26</v>
      </c>
      <c r="V16" s="3">
        <v>0</v>
      </c>
      <c r="W16" s="3">
        <v>1</v>
      </c>
      <c r="X16">
        <v>1</v>
      </c>
      <c r="Y16">
        <v>0</v>
      </c>
      <c r="Z16" s="3">
        <v>1</v>
      </c>
      <c r="AA16" s="3">
        <v>1</v>
      </c>
      <c r="AB16" s="3">
        <v>1</v>
      </c>
      <c r="AC16" s="3">
        <v>1</v>
      </c>
      <c r="AD16" s="3">
        <v>0</v>
      </c>
      <c r="AE16" s="3">
        <v>1</v>
      </c>
      <c r="AF16" s="3">
        <v>1</v>
      </c>
      <c r="AG16" s="3">
        <v>0</v>
      </c>
      <c r="AH16" s="3">
        <v>0</v>
      </c>
      <c r="AI16" s="3">
        <v>0</v>
      </c>
      <c r="AJ16" s="3">
        <v>0</v>
      </c>
      <c r="AK16" s="3" t="s">
        <v>85</v>
      </c>
      <c r="AL16" s="3">
        <v>2</v>
      </c>
      <c r="AM16" s="3">
        <v>0</v>
      </c>
      <c r="AN16" s="3">
        <v>0</v>
      </c>
      <c r="AO16" s="6" t="s">
        <v>186</v>
      </c>
      <c r="AP16" t="s">
        <v>188</v>
      </c>
      <c r="AQ16">
        <v>0</v>
      </c>
      <c r="AR16" s="34">
        <v>45782</v>
      </c>
      <c r="AS16" s="35" t="s">
        <v>50</v>
      </c>
      <c r="AT16" s="35" t="s">
        <v>155</v>
      </c>
      <c r="AW16">
        <v>0</v>
      </c>
      <c r="AX16" s="35">
        <v>1</v>
      </c>
      <c r="AY16" t="s">
        <v>187</v>
      </c>
      <c r="AZ16">
        <v>1</v>
      </c>
      <c r="BA16" s="35">
        <v>0</v>
      </c>
      <c r="BB16" s="35">
        <v>550</v>
      </c>
      <c r="BC16" s="35">
        <v>400</v>
      </c>
      <c r="BD16" s="35" t="s">
        <v>189</v>
      </c>
      <c r="BE16" t="s">
        <v>77</v>
      </c>
      <c r="BF16" t="s">
        <v>190</v>
      </c>
    </row>
    <row r="17" spans="1:57">
      <c r="A17">
        <v>2020</v>
      </c>
      <c r="B17" s="2">
        <v>44069</v>
      </c>
      <c r="C17" s="2">
        <v>44196</v>
      </c>
      <c r="D17" s="23" t="s">
        <v>61</v>
      </c>
      <c r="E17" s="2" t="s">
        <v>191</v>
      </c>
      <c r="F17" s="2">
        <v>19534</v>
      </c>
      <c r="G17" s="5">
        <f t="shared" ca="1" si="0"/>
        <v>72.686111111111117</v>
      </c>
      <c r="H17" s="5">
        <v>30.86</v>
      </c>
      <c r="I17" s="2" t="s">
        <v>45</v>
      </c>
      <c r="J17" s="3" t="s">
        <v>46</v>
      </c>
      <c r="K17">
        <v>1</v>
      </c>
      <c r="L17" s="3">
        <v>0</v>
      </c>
      <c r="N17" s="3">
        <v>0</v>
      </c>
      <c r="O17" s="3">
        <v>0</v>
      </c>
      <c r="P17" s="3">
        <v>0</v>
      </c>
      <c r="Q17" s="3" t="s">
        <v>93</v>
      </c>
      <c r="R17" s="3">
        <v>1</v>
      </c>
      <c r="S17" s="3">
        <v>1</v>
      </c>
      <c r="T17" s="3">
        <v>0</v>
      </c>
      <c r="U17" t="s">
        <v>26</v>
      </c>
      <c r="V17" s="3">
        <v>0</v>
      </c>
      <c r="W17" s="3">
        <v>1</v>
      </c>
      <c r="X17">
        <v>0</v>
      </c>
      <c r="Y17">
        <v>1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1</v>
      </c>
      <c r="AF17" s="3">
        <v>1</v>
      </c>
      <c r="AG17" s="40">
        <v>0</v>
      </c>
      <c r="AH17" s="3">
        <v>1</v>
      </c>
      <c r="AI17" s="3">
        <v>1</v>
      </c>
      <c r="AJ17" s="3">
        <v>0</v>
      </c>
      <c r="AK17" s="3" t="s">
        <v>193</v>
      </c>
      <c r="AL17" s="3">
        <v>1</v>
      </c>
      <c r="AM17" s="3">
        <v>1</v>
      </c>
      <c r="AN17" s="3">
        <v>0</v>
      </c>
      <c r="AO17" s="6" t="s">
        <v>62</v>
      </c>
      <c r="AP17" t="s">
        <v>192</v>
      </c>
      <c r="AQ17">
        <v>0</v>
      </c>
      <c r="AR17" s="34">
        <v>45874</v>
      </c>
      <c r="AS17" s="35" t="s">
        <v>54</v>
      </c>
      <c r="AW17">
        <v>0</v>
      </c>
      <c r="AX17" s="35">
        <v>0</v>
      </c>
      <c r="AZ17">
        <v>0</v>
      </c>
      <c r="BA17" s="35">
        <v>0</v>
      </c>
      <c r="BB17" s="35">
        <v>750</v>
      </c>
      <c r="BC17" s="35">
        <v>50</v>
      </c>
      <c r="BD17" s="35">
        <v>770</v>
      </c>
      <c r="BE17" t="s">
        <v>77</v>
      </c>
    </row>
    <row r="18" spans="1:57">
      <c r="A18">
        <v>2020</v>
      </c>
      <c r="B18" s="2">
        <v>44062</v>
      </c>
      <c r="C18" s="2">
        <v>44144</v>
      </c>
      <c r="D18" s="23" t="s">
        <v>61</v>
      </c>
      <c r="E18" s="2" t="s">
        <v>191</v>
      </c>
      <c r="F18" s="2">
        <v>17617</v>
      </c>
      <c r="G18" s="5">
        <f t="shared" ca="1" si="0"/>
        <v>77.933333333333337</v>
      </c>
      <c r="H18" s="5">
        <v>26.85</v>
      </c>
      <c r="I18" s="2" t="s">
        <v>45</v>
      </c>
      <c r="J18" s="3" t="s">
        <v>46</v>
      </c>
      <c r="K18">
        <v>0</v>
      </c>
      <c r="L18" s="3">
        <v>0</v>
      </c>
      <c r="N18" s="3">
        <v>0</v>
      </c>
      <c r="O18" s="3">
        <v>0</v>
      </c>
      <c r="P18" s="3">
        <v>0</v>
      </c>
      <c r="Q18" s="3">
        <v>0</v>
      </c>
      <c r="R18" s="3" t="s">
        <v>194</v>
      </c>
      <c r="S18" s="3">
        <v>1</v>
      </c>
      <c r="T18" s="3">
        <v>0</v>
      </c>
      <c r="U18" t="s">
        <v>26</v>
      </c>
      <c r="V18" s="3">
        <v>0</v>
      </c>
      <c r="W18" s="3">
        <v>1</v>
      </c>
      <c r="X18">
        <v>0</v>
      </c>
      <c r="Y18">
        <v>1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1</v>
      </c>
      <c r="AF18" s="3">
        <v>1</v>
      </c>
      <c r="AG18" s="3">
        <v>0</v>
      </c>
      <c r="AH18" s="3">
        <v>1</v>
      </c>
      <c r="AI18" s="3">
        <v>1</v>
      </c>
      <c r="AJ18" s="3">
        <v>0</v>
      </c>
      <c r="AK18" s="3" t="s">
        <v>47</v>
      </c>
      <c r="AL18" s="3">
        <v>1</v>
      </c>
      <c r="AM18" s="3">
        <v>1</v>
      </c>
      <c r="AN18" s="3" t="s">
        <v>96</v>
      </c>
      <c r="AO18" s="6" t="s">
        <v>196</v>
      </c>
      <c r="AP18" t="s">
        <v>197</v>
      </c>
      <c r="AR18" s="34">
        <v>45071</v>
      </c>
      <c r="AS18" s="35" t="s">
        <v>50</v>
      </c>
      <c r="AT18" s="35" t="s">
        <v>261</v>
      </c>
      <c r="AU18" s="35" t="s">
        <v>100</v>
      </c>
      <c r="AV18" s="35" t="s">
        <v>148</v>
      </c>
      <c r="AW18">
        <v>1</v>
      </c>
      <c r="AX18" s="38">
        <v>1</v>
      </c>
      <c r="AZ18">
        <v>0</v>
      </c>
      <c r="BA18" s="35">
        <v>0</v>
      </c>
      <c r="BB18" s="35">
        <v>500</v>
      </c>
      <c r="BC18" s="35">
        <v>100</v>
      </c>
      <c r="BD18" s="35">
        <v>300</v>
      </c>
      <c r="BE18" t="s">
        <v>77</v>
      </c>
    </row>
    <row r="19" spans="1:57">
      <c r="A19">
        <v>2020</v>
      </c>
      <c r="B19" s="2">
        <v>44125</v>
      </c>
      <c r="C19" s="2">
        <v>44292</v>
      </c>
      <c r="D19" s="23" t="s">
        <v>249</v>
      </c>
      <c r="E19" t="s">
        <v>200</v>
      </c>
      <c r="F19" s="2">
        <v>28642</v>
      </c>
      <c r="G19" s="5">
        <f t="shared" ca="1" si="0"/>
        <v>47.75</v>
      </c>
      <c r="H19" s="5">
        <v>22.43</v>
      </c>
      <c r="I19" t="s">
        <v>45</v>
      </c>
      <c r="J19" s="3" t="s">
        <v>46</v>
      </c>
      <c r="K19">
        <v>0</v>
      </c>
      <c r="L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1</v>
      </c>
      <c r="S19" s="3">
        <v>0</v>
      </c>
      <c r="T19" s="3">
        <v>1</v>
      </c>
      <c r="U19" t="s">
        <v>26</v>
      </c>
      <c r="V19" s="3">
        <v>0</v>
      </c>
      <c r="W19" s="3">
        <v>1</v>
      </c>
      <c r="X19" t="s">
        <v>82</v>
      </c>
      <c r="Y19" t="s">
        <v>82</v>
      </c>
      <c r="Z19" s="3">
        <v>1</v>
      </c>
      <c r="AA19" s="3">
        <v>1</v>
      </c>
      <c r="AB19" s="3">
        <v>0</v>
      </c>
      <c r="AC19" s="3">
        <v>1</v>
      </c>
      <c r="AD19" s="3">
        <v>1</v>
      </c>
      <c r="AE19" s="3">
        <v>1</v>
      </c>
      <c r="AF19" s="3">
        <v>1</v>
      </c>
      <c r="AG19" s="40">
        <v>0</v>
      </c>
      <c r="AH19" s="3">
        <v>1</v>
      </c>
      <c r="AI19" s="3">
        <v>1</v>
      </c>
      <c r="AJ19" s="3">
        <v>0</v>
      </c>
      <c r="AK19" s="3" t="s">
        <v>47</v>
      </c>
      <c r="AL19" s="3">
        <v>2</v>
      </c>
      <c r="AM19" s="3">
        <v>1</v>
      </c>
      <c r="AN19" s="3" t="s">
        <v>172</v>
      </c>
      <c r="AO19" s="6" t="s">
        <v>199</v>
      </c>
      <c r="AP19" t="s">
        <v>198</v>
      </c>
      <c r="AQ19">
        <v>0</v>
      </c>
      <c r="AR19" s="34">
        <v>44726</v>
      </c>
      <c r="AS19" s="35" t="s">
        <v>54</v>
      </c>
      <c r="AW19">
        <v>0</v>
      </c>
      <c r="AX19" s="35">
        <v>0</v>
      </c>
      <c r="AZ19">
        <v>0</v>
      </c>
      <c r="BA19" s="35">
        <v>0</v>
      </c>
      <c r="BB19" s="35">
        <v>450</v>
      </c>
      <c r="BC19" s="35">
        <v>150</v>
      </c>
      <c r="BD19" s="35">
        <v>485</v>
      </c>
      <c r="BE19" t="s">
        <v>77</v>
      </c>
    </row>
    <row r="20" spans="1:57">
      <c r="A20">
        <v>2020</v>
      </c>
      <c r="B20" s="2">
        <v>44069</v>
      </c>
      <c r="C20" s="2">
        <v>44258</v>
      </c>
      <c r="D20" s="23" t="s">
        <v>250</v>
      </c>
      <c r="E20" s="2" t="s">
        <v>202</v>
      </c>
      <c r="F20" s="2">
        <v>16837</v>
      </c>
      <c r="G20" s="5">
        <f t="shared" ca="1" si="0"/>
        <v>80.075000000000003</v>
      </c>
      <c r="H20" s="5">
        <v>33.020000000000003</v>
      </c>
      <c r="I20" s="2" t="s">
        <v>45</v>
      </c>
      <c r="J20" s="3" t="s">
        <v>254</v>
      </c>
      <c r="K20">
        <v>1</v>
      </c>
      <c r="L20" s="3">
        <v>1</v>
      </c>
      <c r="M20">
        <v>6.9</v>
      </c>
      <c r="N20" s="3">
        <v>1</v>
      </c>
      <c r="O20" s="3">
        <v>0</v>
      </c>
      <c r="P20" s="3">
        <v>0</v>
      </c>
      <c r="Q20" s="3" t="s">
        <v>93</v>
      </c>
      <c r="R20" s="3">
        <v>1</v>
      </c>
      <c r="S20" s="3">
        <v>1</v>
      </c>
      <c r="T20" s="3">
        <v>0</v>
      </c>
      <c r="U20" t="s">
        <v>26</v>
      </c>
      <c r="V20" s="3">
        <v>1</v>
      </c>
      <c r="W20" s="3">
        <v>0</v>
      </c>
      <c r="X20">
        <v>0</v>
      </c>
      <c r="Y20">
        <v>0</v>
      </c>
      <c r="Z20" s="3">
        <v>0</v>
      </c>
      <c r="AA20" s="3">
        <v>0</v>
      </c>
      <c r="AB20" s="3">
        <v>0</v>
      </c>
      <c r="AC20" s="3">
        <v>0</v>
      </c>
      <c r="AD20" s="3">
        <v>1</v>
      </c>
      <c r="AE20" s="3">
        <v>1</v>
      </c>
      <c r="AF20" s="3">
        <v>1</v>
      </c>
      <c r="AG20" s="3">
        <v>0</v>
      </c>
      <c r="AH20" s="3">
        <v>1</v>
      </c>
      <c r="AI20" s="3">
        <v>1</v>
      </c>
      <c r="AJ20" s="3">
        <v>0</v>
      </c>
      <c r="AK20" s="3" t="s">
        <v>201</v>
      </c>
      <c r="AL20" s="3">
        <v>1</v>
      </c>
      <c r="AM20" s="3">
        <v>1</v>
      </c>
      <c r="AN20" s="3">
        <v>0</v>
      </c>
      <c r="AO20" s="7" t="s">
        <v>161</v>
      </c>
      <c r="AP20" t="s">
        <v>195</v>
      </c>
      <c r="AQ20">
        <v>0</v>
      </c>
      <c r="AR20" s="34">
        <v>45993</v>
      </c>
      <c r="AS20" s="35" t="s">
        <v>54</v>
      </c>
      <c r="AT20" s="35" t="s">
        <v>262</v>
      </c>
      <c r="AW20">
        <v>0</v>
      </c>
      <c r="AX20" s="35">
        <v>0</v>
      </c>
      <c r="AZ20">
        <v>0</v>
      </c>
      <c r="BA20" s="35">
        <v>0</v>
      </c>
      <c r="BB20" s="35">
        <v>650</v>
      </c>
      <c r="BC20" s="35">
        <v>200</v>
      </c>
      <c r="BD20" s="35">
        <v>560</v>
      </c>
      <c r="BE20" t="s">
        <v>77</v>
      </c>
    </row>
    <row r="21" spans="1:57">
      <c r="A21" t="s">
        <v>111</v>
      </c>
      <c r="B21" s="2">
        <v>44113</v>
      </c>
      <c r="C21" s="2">
        <v>44167</v>
      </c>
      <c r="D21" s="23" t="s">
        <v>247</v>
      </c>
      <c r="E21" s="2" t="s">
        <v>203</v>
      </c>
      <c r="F21" s="2">
        <v>27665</v>
      </c>
      <c r="G21" s="5">
        <f t="shared" ca="1" si="0"/>
        <v>50.424999999999997</v>
      </c>
      <c r="H21" s="5">
        <v>18.989999999999998</v>
      </c>
      <c r="I21" s="2" t="s">
        <v>45</v>
      </c>
      <c r="J21" s="3" t="s">
        <v>46</v>
      </c>
      <c r="K21">
        <v>0</v>
      </c>
      <c r="L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1</v>
      </c>
      <c r="U21" t="s">
        <v>26</v>
      </c>
      <c r="V21" s="3">
        <v>0</v>
      </c>
      <c r="W21" s="3">
        <v>1</v>
      </c>
      <c r="X21">
        <v>1</v>
      </c>
      <c r="Y21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1</v>
      </c>
      <c r="AF21" s="3">
        <v>0</v>
      </c>
      <c r="AG21" s="40">
        <v>0</v>
      </c>
      <c r="AH21" s="3" t="s">
        <v>111</v>
      </c>
      <c r="AI21" s="3" t="s">
        <v>111</v>
      </c>
      <c r="AJ21" s="3" t="s">
        <v>111</v>
      </c>
      <c r="AK21" s="3" t="s">
        <v>111</v>
      </c>
      <c r="AL21" s="3">
        <v>2</v>
      </c>
      <c r="AM21" s="25" t="s">
        <v>111</v>
      </c>
      <c r="AN21" s="25" t="s">
        <v>111</v>
      </c>
      <c r="AO21" s="16" t="s">
        <v>111</v>
      </c>
      <c r="AP21" s="16" t="s">
        <v>111</v>
      </c>
      <c r="AQ21">
        <v>0</v>
      </c>
      <c r="AR21" s="34">
        <v>45106</v>
      </c>
      <c r="AS21" s="35" t="s">
        <v>50</v>
      </c>
      <c r="AT21" s="35" t="s">
        <v>67</v>
      </c>
      <c r="AU21" s="35" t="s">
        <v>148</v>
      </c>
      <c r="AV21" s="35" t="s">
        <v>263</v>
      </c>
      <c r="AW21">
        <v>0</v>
      </c>
      <c r="AX21" s="35">
        <v>1</v>
      </c>
      <c r="AY21" t="s">
        <v>204</v>
      </c>
      <c r="AZ21">
        <v>0</v>
      </c>
      <c r="BA21" s="35">
        <v>0</v>
      </c>
      <c r="BB21" s="35">
        <v>275</v>
      </c>
      <c r="BC21" s="35">
        <v>100</v>
      </c>
      <c r="BD21" s="35">
        <v>275</v>
      </c>
      <c r="BE21" t="s">
        <v>77</v>
      </c>
    </row>
    <row r="22" spans="1:57">
      <c r="A22" t="s">
        <v>111</v>
      </c>
      <c r="B22" s="2">
        <v>44148</v>
      </c>
      <c r="C22" s="2">
        <v>44217</v>
      </c>
      <c r="D22" s="23" t="s">
        <v>247</v>
      </c>
      <c r="E22" s="2" t="s">
        <v>205</v>
      </c>
      <c r="F22" s="2">
        <v>34886</v>
      </c>
      <c r="G22" s="5">
        <f t="shared" ca="1" si="0"/>
        <v>30.652777777777779</v>
      </c>
      <c r="H22" s="5">
        <v>22.5</v>
      </c>
      <c r="I22" s="2" t="s">
        <v>45</v>
      </c>
      <c r="J22" s="3" t="s">
        <v>46</v>
      </c>
      <c r="K22">
        <v>0</v>
      </c>
      <c r="L22" s="3">
        <v>0</v>
      </c>
      <c r="N22" s="3">
        <v>0</v>
      </c>
      <c r="O22" s="3">
        <v>0</v>
      </c>
      <c r="P22" s="3">
        <v>0</v>
      </c>
      <c r="Q22" s="3" t="s">
        <v>93</v>
      </c>
      <c r="R22" s="3">
        <v>1</v>
      </c>
      <c r="S22" s="3">
        <v>1</v>
      </c>
      <c r="T22" s="3">
        <v>0</v>
      </c>
      <c r="U22" t="s">
        <v>26</v>
      </c>
      <c r="V22" s="3">
        <v>1</v>
      </c>
      <c r="W22" s="3">
        <v>0</v>
      </c>
      <c r="X22">
        <v>0</v>
      </c>
      <c r="Y22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1</v>
      </c>
      <c r="AF22" s="25">
        <v>0</v>
      </c>
      <c r="AG22" s="25">
        <v>0</v>
      </c>
      <c r="AH22" s="25" t="s">
        <v>111</v>
      </c>
      <c r="AI22" s="25" t="s">
        <v>111</v>
      </c>
      <c r="AJ22" s="25" t="s">
        <v>111</v>
      </c>
      <c r="AK22" s="25" t="s">
        <v>111</v>
      </c>
      <c r="AL22" s="3">
        <v>2</v>
      </c>
      <c r="AM22" s="25" t="s">
        <v>111</v>
      </c>
      <c r="AN22" s="25" t="s">
        <v>111</v>
      </c>
      <c r="AO22" s="16" t="s">
        <v>111</v>
      </c>
      <c r="AP22" s="16" t="s">
        <v>111</v>
      </c>
      <c r="AQ22">
        <v>0</v>
      </c>
      <c r="AR22" s="34">
        <v>44580</v>
      </c>
      <c r="AS22" s="35" t="s">
        <v>54</v>
      </c>
      <c r="AW22">
        <v>0</v>
      </c>
      <c r="AX22" s="35">
        <v>0</v>
      </c>
      <c r="AZ22">
        <v>0</v>
      </c>
      <c r="BA22" s="35">
        <v>0</v>
      </c>
      <c r="BB22" s="35">
        <v>300</v>
      </c>
      <c r="BC22" s="35">
        <v>0</v>
      </c>
      <c r="BD22" s="35">
        <v>310</v>
      </c>
      <c r="BE22" t="s">
        <v>77</v>
      </c>
    </row>
    <row r="23" spans="1:57">
      <c r="A23">
        <v>2020</v>
      </c>
      <c r="B23" s="2">
        <v>44090</v>
      </c>
      <c r="C23" s="2">
        <v>44202</v>
      </c>
      <c r="D23" s="23" t="s">
        <v>70</v>
      </c>
      <c r="E23" s="2" t="s">
        <v>115</v>
      </c>
      <c r="F23" s="2">
        <v>28867</v>
      </c>
      <c r="G23" s="5">
        <f t="shared" ca="1" si="0"/>
        <v>47.136111111111113</v>
      </c>
      <c r="H23" s="5">
        <v>26</v>
      </c>
      <c r="I23" s="2" t="s">
        <v>45</v>
      </c>
      <c r="J23" s="3" t="s">
        <v>46</v>
      </c>
      <c r="K23">
        <v>0</v>
      </c>
      <c r="L23" s="3">
        <v>0</v>
      </c>
      <c r="N23" s="3">
        <v>0</v>
      </c>
      <c r="O23" s="3">
        <v>0</v>
      </c>
      <c r="P23" s="3">
        <v>0</v>
      </c>
      <c r="Q23" s="3" t="s">
        <v>93</v>
      </c>
      <c r="R23" s="3">
        <v>1</v>
      </c>
      <c r="S23" s="3">
        <v>1</v>
      </c>
      <c r="T23" s="3">
        <v>0</v>
      </c>
      <c r="U23" t="s">
        <v>26</v>
      </c>
      <c r="V23" s="3">
        <v>0</v>
      </c>
      <c r="W23" s="3">
        <v>1</v>
      </c>
      <c r="X23">
        <v>1</v>
      </c>
      <c r="Y23">
        <v>0</v>
      </c>
      <c r="Z23" s="3">
        <v>0</v>
      </c>
      <c r="AA23" s="3">
        <v>0</v>
      </c>
      <c r="AB23" s="3">
        <v>0</v>
      </c>
      <c r="AC23" s="3">
        <v>0</v>
      </c>
      <c r="AD23" s="3">
        <v>1</v>
      </c>
      <c r="AE23" s="3">
        <v>1</v>
      </c>
      <c r="AF23" s="3">
        <v>1</v>
      </c>
      <c r="AG23" s="3">
        <v>0</v>
      </c>
      <c r="AH23" s="3">
        <v>1</v>
      </c>
      <c r="AI23" s="3">
        <v>1</v>
      </c>
      <c r="AJ23" s="3">
        <v>0</v>
      </c>
      <c r="AK23" s="3" t="s">
        <v>85</v>
      </c>
      <c r="AL23" s="3">
        <v>2</v>
      </c>
      <c r="AM23" s="3">
        <v>0</v>
      </c>
      <c r="AN23" s="26" t="s">
        <v>96</v>
      </c>
      <c r="AO23" t="s">
        <v>207</v>
      </c>
      <c r="AP23" t="s">
        <v>206</v>
      </c>
      <c r="AQ23">
        <v>0</v>
      </c>
      <c r="AR23" s="34">
        <v>45972</v>
      </c>
      <c r="AS23" s="35" t="s">
        <v>54</v>
      </c>
      <c r="AT23" s="35" t="s">
        <v>255</v>
      </c>
      <c r="AW23">
        <v>0</v>
      </c>
      <c r="AX23" s="35">
        <v>0</v>
      </c>
      <c r="AZ23">
        <v>0</v>
      </c>
      <c r="BA23" s="35">
        <v>0</v>
      </c>
      <c r="BB23" s="35">
        <v>600</v>
      </c>
      <c r="BC23" s="35">
        <v>200</v>
      </c>
      <c r="BD23" s="35">
        <v>605</v>
      </c>
      <c r="BE23" t="s">
        <v>77</v>
      </c>
    </row>
    <row r="24" spans="1:57">
      <c r="A24">
        <v>2020</v>
      </c>
      <c r="B24" s="2">
        <v>44106</v>
      </c>
      <c r="C24" s="2">
        <v>44344</v>
      </c>
      <c r="D24" s="23" t="s">
        <v>249</v>
      </c>
      <c r="E24" s="2" t="s">
        <v>211</v>
      </c>
      <c r="F24" s="2">
        <v>23180</v>
      </c>
      <c r="G24" s="5">
        <f t="shared" ca="1" si="0"/>
        <v>62.702777777777776</v>
      </c>
      <c r="H24" s="5">
        <v>28.15</v>
      </c>
      <c r="I24" s="2" t="s">
        <v>45</v>
      </c>
      <c r="J24" s="3" t="s">
        <v>46</v>
      </c>
      <c r="K24">
        <v>0</v>
      </c>
      <c r="L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1</v>
      </c>
      <c r="S24" s="3">
        <v>1</v>
      </c>
      <c r="T24" s="3">
        <v>0</v>
      </c>
      <c r="U24" t="s">
        <v>26</v>
      </c>
      <c r="V24" s="3">
        <v>1</v>
      </c>
      <c r="W24" s="3">
        <v>0</v>
      </c>
      <c r="X24">
        <v>0</v>
      </c>
      <c r="Y24">
        <v>0</v>
      </c>
      <c r="Z24" s="3">
        <v>0</v>
      </c>
      <c r="AA24" s="3">
        <v>0</v>
      </c>
      <c r="AB24" s="3">
        <v>0</v>
      </c>
      <c r="AC24" s="3">
        <v>1</v>
      </c>
      <c r="AD24" s="3">
        <v>1</v>
      </c>
      <c r="AE24" s="3">
        <v>1</v>
      </c>
      <c r="AF24" s="3">
        <v>1</v>
      </c>
      <c r="AG24" s="19">
        <v>1</v>
      </c>
      <c r="AH24" s="3">
        <v>1</v>
      </c>
      <c r="AI24" s="3">
        <v>0</v>
      </c>
      <c r="AJ24" s="3">
        <v>0</v>
      </c>
      <c r="AK24" s="3" t="s">
        <v>94</v>
      </c>
      <c r="AL24" s="3">
        <v>2</v>
      </c>
      <c r="AM24" s="3">
        <v>0</v>
      </c>
      <c r="AN24" s="26" t="s">
        <v>220</v>
      </c>
      <c r="AO24" t="s">
        <v>213</v>
      </c>
      <c r="AP24" t="s">
        <v>212</v>
      </c>
      <c r="AQ24">
        <v>0</v>
      </c>
      <c r="AR24" s="34">
        <v>45397</v>
      </c>
      <c r="AS24" s="35" t="s">
        <v>50</v>
      </c>
      <c r="AT24" s="35" t="s">
        <v>210</v>
      </c>
      <c r="AW24">
        <v>0</v>
      </c>
      <c r="AX24" s="35">
        <v>1</v>
      </c>
      <c r="AY24" t="s">
        <v>209</v>
      </c>
      <c r="AZ24">
        <v>1</v>
      </c>
      <c r="BA24" s="35" t="s">
        <v>208</v>
      </c>
      <c r="BB24" s="35">
        <v>750</v>
      </c>
      <c r="BC24" s="35">
        <v>200</v>
      </c>
      <c r="BD24" s="35">
        <v>605</v>
      </c>
      <c r="BE24" t="s">
        <v>77</v>
      </c>
    </row>
    <row r="25" spans="1:57">
      <c r="A25">
        <v>2020</v>
      </c>
      <c r="B25" s="2">
        <v>44092</v>
      </c>
      <c r="C25" s="2">
        <v>44404</v>
      </c>
      <c r="D25" s="23" t="s">
        <v>70</v>
      </c>
      <c r="E25" s="2" t="s">
        <v>98</v>
      </c>
      <c r="F25" s="2">
        <v>15710</v>
      </c>
      <c r="G25" s="5">
        <f t="shared" ca="1" si="0"/>
        <v>83.158333333333331</v>
      </c>
      <c r="H25" s="5">
        <v>22.67</v>
      </c>
      <c r="I25" s="2" t="s">
        <v>45</v>
      </c>
      <c r="J25" s="3" t="s">
        <v>46</v>
      </c>
      <c r="K25">
        <v>1</v>
      </c>
      <c r="L25" s="3">
        <v>0</v>
      </c>
      <c r="N25" s="3">
        <v>1</v>
      </c>
      <c r="O25" s="3">
        <v>0</v>
      </c>
      <c r="P25" s="3">
        <v>0</v>
      </c>
      <c r="Q25" s="3">
        <v>0</v>
      </c>
      <c r="R25" s="3">
        <v>1</v>
      </c>
      <c r="S25" s="3">
        <v>1</v>
      </c>
      <c r="T25" s="3">
        <v>0</v>
      </c>
      <c r="U25" t="s">
        <v>26</v>
      </c>
      <c r="V25" s="3">
        <v>0</v>
      </c>
      <c r="W25" s="3">
        <v>1</v>
      </c>
      <c r="X25">
        <v>0</v>
      </c>
      <c r="Y25">
        <v>1</v>
      </c>
      <c r="Z25" s="19">
        <v>0</v>
      </c>
      <c r="AA25" s="3">
        <v>1</v>
      </c>
      <c r="AB25" s="3">
        <v>1</v>
      </c>
      <c r="AC25" s="3">
        <v>0</v>
      </c>
      <c r="AD25" s="3">
        <v>0</v>
      </c>
      <c r="AE25" s="3">
        <v>1</v>
      </c>
      <c r="AF25" s="3">
        <v>1</v>
      </c>
      <c r="AG25" s="19">
        <v>1</v>
      </c>
      <c r="AH25" s="3">
        <v>0</v>
      </c>
      <c r="AI25" s="3">
        <v>0</v>
      </c>
      <c r="AJ25" s="3">
        <v>1</v>
      </c>
      <c r="AK25" s="3" t="s">
        <v>85</v>
      </c>
      <c r="AL25" s="3">
        <v>0</v>
      </c>
      <c r="AM25" s="3">
        <v>0</v>
      </c>
      <c r="AN25" s="3" t="s">
        <v>96</v>
      </c>
      <c r="AO25" s="6" t="s">
        <v>214</v>
      </c>
      <c r="AP25" t="s">
        <v>215</v>
      </c>
      <c r="AR25" s="34">
        <v>45790</v>
      </c>
      <c r="AS25" s="35" t="s">
        <v>54</v>
      </c>
      <c r="AT25" s="35" t="s">
        <v>244</v>
      </c>
      <c r="AW25">
        <v>1</v>
      </c>
      <c r="AX25" s="35">
        <v>0</v>
      </c>
      <c r="AZ25">
        <v>0</v>
      </c>
      <c r="BA25" s="35">
        <v>0</v>
      </c>
      <c r="BB25" s="35">
        <v>500</v>
      </c>
      <c r="BC25" s="35">
        <v>100</v>
      </c>
      <c r="BD25" s="35">
        <v>405</v>
      </c>
      <c r="BE25" t="s">
        <v>77</v>
      </c>
    </row>
    <row r="26" spans="1:57">
      <c r="A26">
        <v>2019</v>
      </c>
      <c r="B26" t="s">
        <v>21</v>
      </c>
      <c r="C26" s="2">
        <v>44244</v>
      </c>
      <c r="D26" s="23" t="s">
        <v>70</v>
      </c>
      <c r="E26" s="2" t="s">
        <v>115</v>
      </c>
      <c r="F26" s="2">
        <v>24240</v>
      </c>
      <c r="G26" s="5">
        <f t="shared" ca="1" si="0"/>
        <v>59.8</v>
      </c>
      <c r="H26" s="5">
        <v>30.61</v>
      </c>
      <c r="I26" s="2" t="s">
        <v>45</v>
      </c>
      <c r="J26" s="3" t="s">
        <v>46</v>
      </c>
      <c r="K26">
        <v>0</v>
      </c>
      <c r="L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1</v>
      </c>
      <c r="S26" s="3">
        <v>0</v>
      </c>
      <c r="T26" s="3">
        <v>1</v>
      </c>
      <c r="U26" t="s">
        <v>26</v>
      </c>
      <c r="V26" s="3">
        <v>0</v>
      </c>
      <c r="W26" s="3">
        <v>1</v>
      </c>
      <c r="X26">
        <v>1</v>
      </c>
      <c r="Y26">
        <v>0</v>
      </c>
      <c r="Z26" s="3">
        <v>1</v>
      </c>
      <c r="AA26" s="3">
        <v>0</v>
      </c>
      <c r="AB26" s="3">
        <v>0</v>
      </c>
      <c r="AC26" s="3">
        <v>0</v>
      </c>
      <c r="AD26" s="3">
        <v>1</v>
      </c>
      <c r="AE26" s="3">
        <v>1</v>
      </c>
      <c r="AF26" s="3">
        <v>1</v>
      </c>
      <c r="AG26" s="3">
        <v>0</v>
      </c>
      <c r="AH26" s="3">
        <v>1</v>
      </c>
      <c r="AI26" s="3">
        <v>0</v>
      </c>
      <c r="AJ26" s="3">
        <v>0</v>
      </c>
      <c r="AK26" s="3" t="s">
        <v>47</v>
      </c>
      <c r="AL26" s="3">
        <v>2</v>
      </c>
      <c r="AM26" s="3">
        <v>0</v>
      </c>
      <c r="AN26" s="26">
        <v>0</v>
      </c>
      <c r="AO26" s="6" t="s">
        <v>217</v>
      </c>
      <c r="AP26" s="6" t="s">
        <v>218</v>
      </c>
      <c r="AQ26">
        <v>0</v>
      </c>
      <c r="AR26" s="34">
        <v>45054</v>
      </c>
      <c r="AS26" s="37" t="s">
        <v>54</v>
      </c>
      <c r="AT26" s="39" t="s">
        <v>67</v>
      </c>
      <c r="AW26">
        <v>0</v>
      </c>
      <c r="AX26" s="35">
        <v>0</v>
      </c>
      <c r="AZ26">
        <v>0</v>
      </c>
      <c r="BA26" s="35">
        <v>0</v>
      </c>
      <c r="BB26" s="35">
        <v>550</v>
      </c>
      <c r="BC26" s="35" t="s">
        <v>216</v>
      </c>
      <c r="BD26" s="35">
        <v>400</v>
      </c>
      <c r="BE26" t="s">
        <v>77</v>
      </c>
    </row>
    <row r="27" spans="1:57">
      <c r="A27">
        <v>2020</v>
      </c>
      <c r="B27" s="2">
        <v>44176</v>
      </c>
      <c r="C27" s="2">
        <v>44337</v>
      </c>
      <c r="D27" s="23" t="s">
        <v>70</v>
      </c>
      <c r="E27" s="2" t="s">
        <v>92</v>
      </c>
      <c r="F27" s="2">
        <v>27346</v>
      </c>
      <c r="G27" s="5">
        <f t="shared" ca="1" si="0"/>
        <v>51.3</v>
      </c>
      <c r="H27" s="5">
        <v>26.28</v>
      </c>
      <c r="I27" s="2" t="s">
        <v>45</v>
      </c>
      <c r="J27" s="3" t="s">
        <v>46</v>
      </c>
      <c r="K27">
        <v>0</v>
      </c>
      <c r="L27" s="3">
        <v>0</v>
      </c>
      <c r="N27" s="3">
        <v>0</v>
      </c>
      <c r="O27" s="3">
        <v>0</v>
      </c>
      <c r="P27" s="3">
        <v>0</v>
      </c>
      <c r="Q27" s="3" t="s">
        <v>93</v>
      </c>
      <c r="R27" s="3">
        <v>1</v>
      </c>
      <c r="S27" s="3">
        <v>1</v>
      </c>
      <c r="T27" s="3">
        <v>0</v>
      </c>
      <c r="U27" t="s">
        <v>26</v>
      </c>
      <c r="V27" s="3">
        <v>0</v>
      </c>
      <c r="W27" s="3">
        <v>1</v>
      </c>
      <c r="X27">
        <v>0</v>
      </c>
      <c r="Y27">
        <v>1</v>
      </c>
      <c r="Z27" s="3">
        <v>1</v>
      </c>
      <c r="AA27" s="3">
        <v>0</v>
      </c>
      <c r="AB27" s="3">
        <v>0</v>
      </c>
      <c r="AC27" s="3">
        <v>1</v>
      </c>
      <c r="AD27" s="3">
        <v>1</v>
      </c>
      <c r="AE27" s="3">
        <v>1</v>
      </c>
      <c r="AF27" s="3">
        <v>1</v>
      </c>
      <c r="AG27" s="41">
        <v>0</v>
      </c>
      <c r="AH27" s="3">
        <v>1</v>
      </c>
      <c r="AI27" s="3">
        <v>1</v>
      </c>
      <c r="AJ27" s="3">
        <v>0</v>
      </c>
      <c r="AK27" s="3" t="s">
        <v>85</v>
      </c>
      <c r="AL27" s="3">
        <v>2</v>
      </c>
      <c r="AM27" s="3">
        <v>1</v>
      </c>
      <c r="AN27" s="26" t="s">
        <v>220</v>
      </c>
      <c r="AO27" s="6" t="s">
        <v>221</v>
      </c>
      <c r="AP27" t="s">
        <v>219</v>
      </c>
      <c r="AQ27">
        <v>0</v>
      </c>
      <c r="AR27" s="34">
        <v>44659</v>
      </c>
      <c r="AS27" s="35" t="s">
        <v>54</v>
      </c>
      <c r="AT27" s="35" t="s">
        <v>244</v>
      </c>
      <c r="AU27" s="35" t="s">
        <v>100</v>
      </c>
      <c r="AW27">
        <v>1</v>
      </c>
      <c r="AX27" s="35">
        <v>0</v>
      </c>
      <c r="AZ27">
        <v>0</v>
      </c>
      <c r="BA27" s="35">
        <v>0</v>
      </c>
      <c r="BB27" s="35">
        <v>600</v>
      </c>
      <c r="BC27" s="35">
        <v>50</v>
      </c>
      <c r="BD27" s="35">
        <v>605</v>
      </c>
      <c r="BE27" t="s">
        <v>77</v>
      </c>
    </row>
    <row r="28" spans="1:57">
      <c r="A28">
        <v>2020</v>
      </c>
      <c r="B28" s="2">
        <v>44146</v>
      </c>
      <c r="C28" s="2">
        <v>44355</v>
      </c>
      <c r="D28" s="23" t="s">
        <v>70</v>
      </c>
      <c r="E28" s="2" t="s">
        <v>224</v>
      </c>
      <c r="F28" s="2">
        <v>30196</v>
      </c>
      <c r="G28" s="5">
        <f t="shared" ca="1" si="0"/>
        <v>43.49722222222222</v>
      </c>
      <c r="H28" s="5">
        <v>27.84</v>
      </c>
      <c r="I28" s="2" t="s">
        <v>45</v>
      </c>
      <c r="J28" s="3" t="s">
        <v>46</v>
      </c>
      <c r="K28">
        <v>0</v>
      </c>
      <c r="L28" s="3">
        <v>0</v>
      </c>
      <c r="N28" s="3">
        <v>0</v>
      </c>
      <c r="O28" s="3">
        <v>0</v>
      </c>
      <c r="P28" s="3">
        <v>0</v>
      </c>
      <c r="Q28" s="3" t="s">
        <v>93</v>
      </c>
      <c r="R28" s="3">
        <v>1</v>
      </c>
      <c r="S28" s="3">
        <v>1</v>
      </c>
      <c r="T28" s="3">
        <v>0</v>
      </c>
      <c r="U28" t="s">
        <v>225</v>
      </c>
      <c r="V28" s="3">
        <v>0</v>
      </c>
      <c r="W28" s="3">
        <v>1</v>
      </c>
      <c r="X28">
        <v>0</v>
      </c>
      <c r="Y28">
        <v>1</v>
      </c>
      <c r="Z28" s="3">
        <v>1</v>
      </c>
      <c r="AA28" s="3">
        <v>0</v>
      </c>
      <c r="AB28" s="3">
        <v>0</v>
      </c>
      <c r="AC28" s="3">
        <v>1</v>
      </c>
      <c r="AD28" s="3">
        <v>1</v>
      </c>
      <c r="AE28" s="3">
        <v>0</v>
      </c>
      <c r="AF28" s="3">
        <v>1</v>
      </c>
      <c r="AG28" s="3">
        <v>1</v>
      </c>
      <c r="AH28" s="3">
        <v>1</v>
      </c>
      <c r="AI28" s="3">
        <v>1</v>
      </c>
      <c r="AJ28" s="3">
        <v>0</v>
      </c>
      <c r="AK28" s="3" t="s">
        <v>47</v>
      </c>
      <c r="AL28" s="3">
        <v>2</v>
      </c>
      <c r="AM28" s="3">
        <v>0</v>
      </c>
      <c r="AN28" s="26" t="s">
        <v>220</v>
      </c>
      <c r="AO28" s="6" t="s">
        <v>222</v>
      </c>
      <c r="AP28" t="s">
        <v>223</v>
      </c>
      <c r="AQ28">
        <v>0</v>
      </c>
      <c r="AR28" s="34">
        <v>45860</v>
      </c>
      <c r="AS28" s="35" t="s">
        <v>50</v>
      </c>
      <c r="AT28" s="35" t="s">
        <v>176</v>
      </c>
      <c r="AW28">
        <v>0</v>
      </c>
      <c r="AX28" s="35">
        <v>1</v>
      </c>
      <c r="AY28" t="s">
        <v>226</v>
      </c>
      <c r="AZ28">
        <v>0</v>
      </c>
      <c r="BA28" s="35">
        <v>0</v>
      </c>
      <c r="BB28" s="35">
        <v>750</v>
      </c>
      <c r="BC28" s="35">
        <v>50</v>
      </c>
      <c r="BD28" s="35">
        <v>800</v>
      </c>
      <c r="BE28" t="s">
        <v>77</v>
      </c>
    </row>
    <row r="29" spans="1:57">
      <c r="A29">
        <v>2020</v>
      </c>
      <c r="B29" s="2">
        <v>44111</v>
      </c>
      <c r="C29" s="2">
        <v>44438</v>
      </c>
      <c r="D29" s="23" t="s">
        <v>70</v>
      </c>
      <c r="E29" s="2" t="s">
        <v>115</v>
      </c>
      <c r="F29" s="2">
        <v>30387</v>
      </c>
      <c r="G29" s="5">
        <f t="shared" ca="1" si="0"/>
        <v>42.969444444444441</v>
      </c>
      <c r="H29" s="5">
        <v>27.25</v>
      </c>
      <c r="I29" s="2" t="s">
        <v>45</v>
      </c>
      <c r="J29" s="3" t="s">
        <v>46</v>
      </c>
      <c r="K29">
        <v>0</v>
      </c>
      <c r="L29" s="3">
        <v>0</v>
      </c>
      <c r="N29" s="3">
        <v>0</v>
      </c>
      <c r="O29" s="3">
        <v>0</v>
      </c>
      <c r="P29" s="3">
        <v>0</v>
      </c>
      <c r="Q29" s="3" t="s">
        <v>93</v>
      </c>
      <c r="R29" s="3">
        <v>1</v>
      </c>
      <c r="S29" s="3">
        <v>1</v>
      </c>
      <c r="T29" s="3">
        <v>0</v>
      </c>
      <c r="U29" t="s">
        <v>26</v>
      </c>
      <c r="V29" s="3">
        <v>1</v>
      </c>
      <c r="W29" s="3">
        <v>0</v>
      </c>
      <c r="X29">
        <v>0</v>
      </c>
      <c r="Y29">
        <v>0</v>
      </c>
      <c r="Z29" s="3">
        <v>1</v>
      </c>
      <c r="AA29" s="3">
        <v>0</v>
      </c>
      <c r="AB29" s="3">
        <v>0</v>
      </c>
      <c r="AC29" s="3">
        <v>1</v>
      </c>
      <c r="AD29" s="3">
        <v>1</v>
      </c>
      <c r="AE29" s="3">
        <v>1</v>
      </c>
      <c r="AF29" s="3">
        <v>1</v>
      </c>
      <c r="AG29" s="19">
        <v>0</v>
      </c>
      <c r="AH29" s="3">
        <v>1</v>
      </c>
      <c r="AI29" s="3">
        <v>1</v>
      </c>
      <c r="AJ29" s="3">
        <v>0</v>
      </c>
      <c r="AK29" s="3" t="s">
        <v>85</v>
      </c>
      <c r="AL29" s="3">
        <v>2</v>
      </c>
      <c r="AM29" s="3">
        <v>0</v>
      </c>
      <c r="AN29" s="26" t="s">
        <v>96</v>
      </c>
      <c r="AO29" s="6" t="s">
        <v>236</v>
      </c>
      <c r="AP29" t="s">
        <v>237</v>
      </c>
      <c r="AQ29">
        <v>0</v>
      </c>
      <c r="AR29" s="34">
        <v>45237</v>
      </c>
      <c r="AS29" s="35" t="s">
        <v>54</v>
      </c>
      <c r="AW29">
        <v>0</v>
      </c>
      <c r="AX29" s="35">
        <v>0</v>
      </c>
      <c r="AZ29">
        <v>0</v>
      </c>
      <c r="BA29" s="35">
        <v>0</v>
      </c>
      <c r="BB29" s="38">
        <v>600</v>
      </c>
      <c r="BC29" s="35">
        <v>280</v>
      </c>
      <c r="BD29" s="35">
        <v>605</v>
      </c>
      <c r="BE29" t="s">
        <v>77</v>
      </c>
    </row>
    <row r="30" spans="1:57">
      <c r="A30">
        <v>2019</v>
      </c>
      <c r="B30" s="2">
        <v>43749</v>
      </c>
      <c r="C30" s="2">
        <v>44123</v>
      </c>
      <c r="D30" s="23" t="s">
        <v>251</v>
      </c>
      <c r="E30" s="2" t="s">
        <v>243</v>
      </c>
      <c r="F30" s="2">
        <v>24627</v>
      </c>
      <c r="G30" s="5">
        <f t="shared" ca="1" si="0"/>
        <v>58.741666666666667</v>
      </c>
      <c r="H30" s="5">
        <v>19.13</v>
      </c>
      <c r="I30" s="2" t="s">
        <v>45</v>
      </c>
      <c r="J30" s="3" t="s">
        <v>46</v>
      </c>
      <c r="K30">
        <v>1</v>
      </c>
      <c r="L30" s="3">
        <v>0</v>
      </c>
      <c r="N30" s="3">
        <v>1</v>
      </c>
      <c r="O30" s="3">
        <v>0</v>
      </c>
      <c r="P30" s="3">
        <v>0</v>
      </c>
      <c r="Q30" s="3" t="s">
        <v>93</v>
      </c>
      <c r="R30" s="3">
        <v>0</v>
      </c>
      <c r="S30" s="3">
        <v>0</v>
      </c>
      <c r="T30" s="3">
        <v>1</v>
      </c>
      <c r="U30" t="s">
        <v>26</v>
      </c>
      <c r="V30" s="3">
        <v>1</v>
      </c>
      <c r="W30" s="3">
        <v>0</v>
      </c>
      <c r="X30">
        <v>0</v>
      </c>
      <c r="Y30">
        <v>0</v>
      </c>
      <c r="Z30" s="3">
        <v>0</v>
      </c>
      <c r="AA30" s="3">
        <v>0</v>
      </c>
      <c r="AB30" s="3">
        <v>0</v>
      </c>
      <c r="AC30" s="3">
        <v>0</v>
      </c>
      <c r="AD30" s="3">
        <v>1</v>
      </c>
      <c r="AE30" s="3">
        <v>1</v>
      </c>
      <c r="AF30" s="3">
        <v>1</v>
      </c>
      <c r="AG30" s="3">
        <v>0</v>
      </c>
      <c r="AH30" s="3">
        <v>1</v>
      </c>
      <c r="AI30" s="3">
        <v>1</v>
      </c>
      <c r="AJ30" s="3">
        <v>0</v>
      </c>
      <c r="AK30" s="3" t="s">
        <v>47</v>
      </c>
      <c r="AL30" s="3">
        <v>0</v>
      </c>
      <c r="AM30" s="3">
        <v>0</v>
      </c>
      <c r="AN30" s="26" t="s">
        <v>96</v>
      </c>
      <c r="AO30" s="6" t="s">
        <v>241</v>
      </c>
      <c r="AP30" t="s">
        <v>242</v>
      </c>
      <c r="AQ30">
        <v>0</v>
      </c>
      <c r="AR30" s="34">
        <v>45764</v>
      </c>
      <c r="AS30" s="35" t="s">
        <v>50</v>
      </c>
      <c r="AT30" s="35" t="s">
        <v>260</v>
      </c>
      <c r="AU30" s="35" t="s">
        <v>238</v>
      </c>
      <c r="AV30" s="35" t="s">
        <v>63</v>
      </c>
      <c r="AW30">
        <v>1</v>
      </c>
      <c r="AX30" s="35">
        <v>1</v>
      </c>
      <c r="AY30" t="s">
        <v>240</v>
      </c>
      <c r="AZ30">
        <v>1</v>
      </c>
      <c r="BA30" s="35">
        <v>1</v>
      </c>
      <c r="BB30" s="35">
        <v>250</v>
      </c>
      <c r="BC30" s="35">
        <v>0</v>
      </c>
      <c r="BD30" s="35">
        <v>170</v>
      </c>
      <c r="BE30" t="s">
        <v>77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single stage</vt:lpstr>
      <vt:lpstr>two-stage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Zhou, Beryl [UCM]</dc:creator>
  <cp:lastModifiedBy>Derek Skinner</cp:lastModifiedBy>
  <dcterms:created xsi:type="dcterms:W3CDTF">2026-01-08T00:39:11Z</dcterms:created>
  <dcterms:modified xsi:type="dcterms:W3CDTF">2026-03-01T22:17:36Z</dcterms:modified>
</cp:coreProperties>
</file>